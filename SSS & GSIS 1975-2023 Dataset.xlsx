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Gideon\Downloads\POTENTIAL DATASET\"/>
    </mc:Choice>
  </mc:AlternateContent>
  <xr:revisionPtr revIDLastSave="0" documentId="13_ncr:1_{7DF46B63-3276-410B-A990-3AAB5ED06165}"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Cleaned Data" sheetId="2" r:id="rId2"/>
    <sheet name="Pivot Tables" sheetId="3" r:id="rId3"/>
    <sheet name="Dashboard" sheetId="4" r:id="rId4"/>
  </sheets>
  <definedNames>
    <definedName name="Slicer_System">#N/A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2" i="2"/>
</calcChain>
</file>

<file path=xl/sharedStrings.xml><?xml version="1.0" encoding="utf-8"?>
<sst xmlns="http://schemas.openxmlformats.org/spreadsheetml/2006/main" count="145" uniqueCount="36">
  <si>
    <r>
      <rPr>
        <sz val="9"/>
        <color rgb="FF000066"/>
        <rFont val="Arial"/>
        <family val="2"/>
      </rPr>
      <t>NOTE: Amount Paid and Contributions Collected are in millions.</t>
    </r>
  </si>
  <si>
    <r>
      <rPr>
        <b/>
        <sz val="7.5"/>
        <rFont val="Arial Narrow"/>
        <family val="2"/>
      </rPr>
      <t>TOTAL</t>
    </r>
  </si>
  <si>
    <r>
      <rPr>
        <sz val="7.5"/>
        <rFont val="Arial Narrow"/>
        <family val="2"/>
      </rPr>
      <t>June 2023</t>
    </r>
  </si>
  <si>
    <r>
      <rPr>
        <sz val="7.5"/>
        <rFont val="Arial Narrow"/>
        <family val="2"/>
      </rPr>
      <t>1975-1979</t>
    </r>
  </si>
  <si>
    <r>
      <rPr>
        <b/>
        <sz val="7.5"/>
        <rFont val="Arial Narrow"/>
        <family val="2"/>
      </rPr>
      <t>Contributions  Collected</t>
    </r>
  </si>
  <si>
    <r>
      <rPr>
        <b/>
        <sz val="7.5"/>
        <rFont val="Arial Narrow"/>
        <family val="2"/>
      </rPr>
      <t>Amount  Paid</t>
    </r>
  </si>
  <si>
    <r>
      <rPr>
        <b/>
        <sz val="7.5"/>
        <rFont val="Arial Narrow"/>
        <family val="2"/>
      </rPr>
      <t>No. of  Claims</t>
    </r>
  </si>
  <si>
    <r>
      <rPr>
        <b/>
        <sz val="7.5"/>
        <rFont val="Arial Narrow"/>
        <family val="2"/>
      </rPr>
      <t>Contributions Collected</t>
    </r>
  </si>
  <si>
    <r>
      <rPr>
        <b/>
        <sz val="7.5"/>
        <rFont val="Arial Narrow"/>
        <family val="2"/>
      </rPr>
      <t>Amount Paid</t>
    </r>
  </si>
  <si>
    <r>
      <rPr>
        <b/>
        <sz val="7.5"/>
        <rFont val="Arial Narrow"/>
        <family val="2"/>
      </rPr>
      <t>No. of Claims</t>
    </r>
  </si>
  <si>
    <r>
      <rPr>
        <b/>
        <sz val="7.5"/>
        <rFont val="Arial Narrow"/>
        <family val="2"/>
      </rPr>
      <t>Year</t>
    </r>
  </si>
  <si>
    <r>
      <rPr>
        <b/>
        <sz val="9"/>
        <rFont val="Arial Narrow"/>
        <family val="2"/>
      </rPr>
      <t>TOTAL</t>
    </r>
  </si>
  <si>
    <r>
      <rPr>
        <b/>
        <sz val="9"/>
        <rFont val="Arial Narrow"/>
        <family val="2"/>
      </rPr>
      <t>Social Security System</t>
    </r>
  </si>
  <si>
    <r>
      <rPr>
        <b/>
        <sz val="9"/>
        <rFont val="Arial Narrow"/>
        <family val="2"/>
      </rPr>
      <t>Government Service Insurance System</t>
    </r>
  </si>
  <si>
    <r>
      <rPr>
        <sz val="12"/>
        <rFont val="Arial Black"/>
        <family val="2"/>
      </rPr>
      <t xml:space="preserve">NUMBER OF EC CLAIMS, AMOUNT PAID AND CONTRIBUTIONS COLLECTED GSIS &amp; SSS
</t>
    </r>
    <r>
      <rPr>
        <b/>
        <sz val="12"/>
        <rFont val="Tahoma"/>
        <family val="2"/>
      </rPr>
      <t>1975 - June 2023</t>
    </r>
  </si>
  <si>
    <t>No. of Claims</t>
  </si>
  <si>
    <t>Year</t>
  </si>
  <si>
    <t>Amount Paid</t>
  </si>
  <si>
    <t>Contributions Collected</t>
  </si>
  <si>
    <t>The incomplete data in 2023 will make it seem that the performance crashed during this year. I excluded the 2023 data so it does not skew the averages</t>
  </si>
  <si>
    <t>The first row is an aggregate sum of five years. To create a consistent year value, I divided the values into 5 to create 5 individual rows.</t>
  </si>
  <si>
    <t>Sum of Contributions Collected</t>
  </si>
  <si>
    <t>General data cleaning: Some columns have values that are in millions. To keep consistent data, these values are multiplies by 1,000,000 to show actual peso value. Removed total so that it doesn’t skew the pivot tables</t>
  </si>
  <si>
    <t>GSIS</t>
  </si>
  <si>
    <t>GSIS &amp; SSS CONTRIBUTION / CLAIMS 1975 - 2022</t>
  </si>
  <si>
    <t>System</t>
  </si>
  <si>
    <t>SSS</t>
  </si>
  <si>
    <t>I reorganized the data in a vertical format and create an additional column for to differentiate the two systems allowing Excel pivot tables to work better.</t>
  </si>
  <si>
    <t>Claims-to-Contribution Ratio</t>
  </si>
  <si>
    <t>Added claims-to-contribution column to have additional actionable data</t>
  </si>
  <si>
    <t>Average payout per claim</t>
  </si>
  <si>
    <t>Contributions Trend</t>
  </si>
  <si>
    <t>Row Labels</t>
  </si>
  <si>
    <t>Column Labels</t>
  </si>
  <si>
    <t>Sum of Claims-to-Contribution Ratio</t>
  </si>
  <si>
    <t>Sum of Average payout per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</si>
</sst>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0.000"/>
    <numFmt numFmtId="166" formatCode="0.0"/>
  </numFmts>
  <fonts count="18" x14ac:knownFonts="1">
    <font>
      <sz val="11"/>
      <color theme="1"/>
      <name val="Calibri"/>
      <family val="2"/>
      <scheme val="minor"/>
    </font>
    <font>
      <sz val="11"/>
      <color theme="1"/>
      <name val="Calibri"/>
      <family val="2"/>
      <scheme val="minor"/>
    </font>
    <font>
      <sz val="9"/>
      <name val="Arial"/>
      <family val="2"/>
    </font>
    <font>
      <sz val="9"/>
      <color rgb="FF000066"/>
      <name val="Arial"/>
      <family val="2"/>
    </font>
    <font>
      <b/>
      <sz val="7.5"/>
      <color rgb="FF000000"/>
      <name val="Arial Narrow"/>
      <family val="2"/>
    </font>
    <font>
      <b/>
      <sz val="7.5"/>
      <name val="Arial Narrow"/>
      <family val="2"/>
    </font>
    <font>
      <sz val="7.5"/>
      <color rgb="FF000000"/>
      <name val="Arial Narrow"/>
      <family val="2"/>
    </font>
    <font>
      <sz val="7.5"/>
      <name val="Arial Narrow"/>
      <family val="2"/>
    </font>
    <font>
      <b/>
      <sz val="9"/>
      <name val="Arial Narrow"/>
      <family val="2"/>
    </font>
    <font>
      <sz val="12"/>
      <color rgb="FF000000"/>
      <name val="Times New Roman"/>
      <family val="1"/>
    </font>
    <font>
      <sz val="12"/>
      <name val="Arial Black"/>
      <family val="2"/>
    </font>
    <font>
      <b/>
      <sz val="12"/>
      <name val="Tahoma"/>
      <family val="2"/>
    </font>
    <font>
      <sz val="11"/>
      <color theme="1"/>
      <name val="Calibri Light"/>
      <family val="2"/>
      <scheme val="major"/>
    </font>
    <font>
      <b/>
      <sz val="11"/>
      <color theme="1"/>
      <name val="Calibri Light"/>
      <family val="2"/>
      <scheme val="major"/>
    </font>
    <font>
      <b/>
      <sz val="11"/>
      <name val="Calibri Light"/>
      <family val="2"/>
      <scheme val="major"/>
    </font>
    <font>
      <sz val="11"/>
      <name val="Calibri Light"/>
      <family val="2"/>
      <scheme val="major"/>
    </font>
    <font>
      <sz val="11"/>
      <color rgb="FF000000"/>
      <name val="Calibri Light"/>
      <family val="2"/>
      <scheme val="major"/>
    </font>
    <font>
      <b/>
      <sz val="22"/>
      <color theme="0"/>
      <name val="Calibri"/>
      <family val="2"/>
      <scheme val="minor"/>
    </font>
  </fonts>
  <fills count="3">
    <fill>
      <patternFill patternType="none"/>
    </fill>
    <fill>
      <patternFill patternType="gray125"/>
    </fill>
    <fill>
      <patternFill patternType="solid">
        <fgColor theme="3" tint="-0.249977111117893"/>
        <bgColor indexed="64"/>
      </patternFill>
    </fill>
  </fills>
  <borders count="8">
    <border>
      <left/>
      <right/>
      <top/>
      <bottom/>
      <diagonal/>
    </border>
    <border>
      <left/>
      <right/>
      <top style="thin">
        <color rgb="FF000066"/>
      </top>
      <bottom/>
      <diagonal/>
    </border>
    <border>
      <left style="thin">
        <color rgb="FF000066"/>
      </left>
      <right style="thin">
        <color rgb="FF000066"/>
      </right>
      <top style="thin">
        <color rgb="FF000066"/>
      </top>
      <bottom style="thin">
        <color rgb="FF000066"/>
      </bottom>
      <diagonal/>
    </border>
    <border>
      <left/>
      <right style="thin">
        <color rgb="FF000066"/>
      </right>
      <top style="thin">
        <color rgb="FF000066"/>
      </top>
      <bottom style="thin">
        <color rgb="FF000066"/>
      </bottom>
      <diagonal/>
    </border>
    <border>
      <left/>
      <right/>
      <top style="thin">
        <color rgb="FF000066"/>
      </top>
      <bottom style="thin">
        <color rgb="FF000066"/>
      </bottom>
      <diagonal/>
    </border>
    <border>
      <left style="thin">
        <color rgb="FF000066"/>
      </left>
      <right/>
      <top style="thin">
        <color rgb="FF000066"/>
      </top>
      <bottom style="thin">
        <color rgb="FF000066"/>
      </bottom>
      <diagonal/>
    </border>
    <border>
      <left/>
      <right/>
      <top/>
      <bottom style="thin">
        <color rgb="FF000066"/>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2">
    <xf numFmtId="0" fontId="0" fillId="0" borderId="0" xfId="0"/>
    <xf numFmtId="164" fontId="4" fillId="0" borderId="2" xfId="0" applyNumberFormat="1" applyFont="1" applyBorder="1" applyAlignment="1">
      <alignment horizontal="right" vertical="top" shrinkToFit="1"/>
    </xf>
    <xf numFmtId="3" fontId="4" fillId="0" borderId="2" xfId="0" applyNumberFormat="1" applyFont="1" applyBorder="1" applyAlignment="1">
      <alignment horizontal="right" vertical="top" shrinkToFit="1"/>
    </xf>
    <xf numFmtId="0" fontId="5" fillId="0" borderId="2" xfId="0" applyFont="1" applyBorder="1" applyAlignment="1">
      <alignment horizontal="right" vertical="top" wrapText="1"/>
    </xf>
    <xf numFmtId="164" fontId="6" fillId="0" borderId="2" xfId="0" applyNumberFormat="1" applyFont="1" applyBorder="1" applyAlignment="1">
      <alignment horizontal="right" vertical="top" shrinkToFit="1"/>
    </xf>
    <xf numFmtId="165" fontId="6" fillId="0" borderId="2" xfId="0" applyNumberFormat="1" applyFont="1" applyBorder="1" applyAlignment="1">
      <alignment horizontal="right" vertical="top" shrinkToFit="1"/>
    </xf>
    <xf numFmtId="3" fontId="6" fillId="0" borderId="2" xfId="0" applyNumberFormat="1" applyFont="1" applyBorder="1" applyAlignment="1">
      <alignment horizontal="right" vertical="top" shrinkToFit="1"/>
    </xf>
    <xf numFmtId="0" fontId="7" fillId="0" borderId="2" xfId="0" applyFont="1" applyBorder="1" applyAlignment="1">
      <alignment horizontal="right" vertical="top" wrapText="1"/>
    </xf>
    <xf numFmtId="1" fontId="6" fillId="0" borderId="2" xfId="0" applyNumberFormat="1" applyFont="1" applyBorder="1" applyAlignment="1">
      <alignment horizontal="right" vertical="top" shrinkToFit="1"/>
    </xf>
    <xf numFmtId="2" fontId="6" fillId="0" borderId="2" xfId="0" applyNumberFormat="1" applyFont="1" applyBorder="1" applyAlignment="1">
      <alignment horizontal="right" vertical="top" shrinkToFit="1"/>
    </xf>
    <xf numFmtId="166" fontId="6" fillId="0" borderId="2" xfId="0" applyNumberFormat="1" applyFont="1" applyBorder="1" applyAlignment="1">
      <alignment horizontal="right" vertical="top" shrinkToFit="1"/>
    </xf>
    <xf numFmtId="0" fontId="5" fillId="0" borderId="2" xfId="0" applyFont="1" applyBorder="1" applyAlignment="1">
      <alignment horizontal="left" vertical="top" wrapText="1" indent="1"/>
    </xf>
    <xf numFmtId="0" fontId="5" fillId="0" borderId="2" xfId="0" applyFont="1" applyBorder="1" applyAlignment="1">
      <alignment horizontal="left" vertical="top" wrapText="1"/>
    </xf>
    <xf numFmtId="0" fontId="5" fillId="0" borderId="2" xfId="0" applyFont="1" applyBorder="1" applyAlignment="1">
      <alignment horizontal="left" vertical="top" wrapText="1" indent="2"/>
    </xf>
    <xf numFmtId="0" fontId="5" fillId="0" borderId="2" xfId="0" applyFont="1" applyBorder="1" applyAlignment="1">
      <alignment horizontal="center" vertical="top" wrapText="1"/>
    </xf>
    <xf numFmtId="0" fontId="0" fillId="0" borderId="2" xfId="0" applyBorder="1" applyAlignment="1">
      <alignment horizontal="left" vertical="center" wrapText="1"/>
    </xf>
    <xf numFmtId="0" fontId="0" fillId="0" borderId="0" xfId="0" pivotButton="1"/>
    <xf numFmtId="0" fontId="0" fillId="2" borderId="0" xfId="0" applyFill="1"/>
    <xf numFmtId="0" fontId="12" fillId="2" borderId="0" xfId="0" applyFont="1" applyFill="1"/>
    <xf numFmtId="0" fontId="12" fillId="0" borderId="7" xfId="0" applyFont="1" applyBorder="1" applyAlignment="1">
      <alignment horizontal="center" vertical="center"/>
    </xf>
    <xf numFmtId="0" fontId="14" fillId="0" borderId="7" xfId="0" applyFont="1" applyBorder="1" applyAlignment="1">
      <alignment horizontal="center" vertical="center" wrapText="1"/>
    </xf>
    <xf numFmtId="0" fontId="14" fillId="0" borderId="0" xfId="0" applyFont="1" applyAlignment="1">
      <alignment horizontal="center" vertical="center" wrapText="1"/>
    </xf>
    <xf numFmtId="0" fontId="12" fillId="0" borderId="0" xfId="0" applyFont="1" applyAlignment="1">
      <alignment horizontal="center" vertical="center"/>
    </xf>
    <xf numFmtId="0" fontId="15" fillId="0" borderId="7" xfId="0" applyFont="1" applyBorder="1" applyAlignment="1">
      <alignment horizontal="center" vertical="center" wrapText="1"/>
    </xf>
    <xf numFmtId="4" fontId="16" fillId="0" borderId="7" xfId="0" applyNumberFormat="1" applyFont="1" applyBorder="1" applyAlignment="1">
      <alignment horizontal="center" vertical="center" shrinkToFit="1"/>
    </xf>
    <xf numFmtId="43" fontId="16" fillId="0" borderId="7" xfId="1" applyFont="1" applyBorder="1" applyAlignment="1">
      <alignment horizontal="center" vertical="center" shrinkToFit="1"/>
    </xf>
    <xf numFmtId="165" fontId="16" fillId="0" borderId="0" xfId="0" applyNumberFormat="1" applyFont="1" applyAlignment="1">
      <alignment horizontal="center" vertical="center" shrinkToFit="1"/>
    </xf>
    <xf numFmtId="3" fontId="16" fillId="0" borderId="7" xfId="0" applyNumberFormat="1" applyFont="1" applyBorder="1" applyAlignment="1">
      <alignment horizontal="center" vertical="center" shrinkToFit="1"/>
    </xf>
    <xf numFmtId="1" fontId="16" fillId="0" borderId="7" xfId="0" applyNumberFormat="1" applyFont="1" applyBorder="1" applyAlignment="1">
      <alignment horizontal="center" vertical="center" shrinkToFit="1"/>
    </xf>
    <xf numFmtId="164" fontId="16" fillId="0" borderId="0" xfId="0" applyNumberFormat="1" applyFont="1" applyAlignment="1">
      <alignment horizontal="center" vertical="center" shrinkToFit="1"/>
    </xf>
    <xf numFmtId="0" fontId="12" fillId="0" borderId="0" xfId="0" applyFont="1" applyAlignment="1">
      <alignment horizontal="left" vertical="center"/>
    </xf>
    <xf numFmtId="0" fontId="13" fillId="0" borderId="7" xfId="0" applyFont="1" applyBorder="1" applyAlignment="1">
      <alignment horizontal="center" vertical="center"/>
    </xf>
    <xf numFmtId="0" fontId="13" fillId="0" borderId="0" xfId="0" applyFont="1" applyAlignment="1">
      <alignment horizontal="center" vertical="center"/>
    </xf>
    <xf numFmtId="43" fontId="0" fillId="0" borderId="0" xfId="0" applyNumberFormat="1"/>
    <xf numFmtId="9" fontId="16" fillId="0" borderId="7" xfId="2" applyFont="1" applyBorder="1" applyAlignment="1">
      <alignment horizontal="center" vertical="center" shrinkToFit="1"/>
    </xf>
    <xf numFmtId="0" fontId="13" fillId="0" borderId="7" xfId="0" applyFont="1" applyBorder="1" applyAlignment="1">
      <alignment horizontal="center" vertical="center" wrapText="1"/>
    </xf>
    <xf numFmtId="43" fontId="12" fillId="0" borderId="7" xfId="0" applyNumberFormat="1" applyFont="1" applyBorder="1" applyAlignment="1">
      <alignment horizontal="center" vertical="center"/>
    </xf>
    <xf numFmtId="0" fontId="0" fillId="0" borderId="0" xfId="0" applyAlignment="1">
      <alignment horizontal="left"/>
    </xf>
    <xf numFmtId="9" fontId="0" fillId="0" borderId="0" xfId="0" applyNumberFormat="1"/>
    <xf numFmtId="0" fontId="17" fillId="2" borderId="0" xfId="0" applyFont="1" applyFill="1" applyAlignment="1">
      <alignment horizontal="center" vertical="center"/>
    </xf>
    <xf numFmtId="0" fontId="8" fillId="0" borderId="5" xfId="0" applyFont="1" applyBorder="1" applyAlignment="1">
      <alignment horizontal="left" vertical="top" wrapText="1" indent="5"/>
    </xf>
    <xf numFmtId="0" fontId="8" fillId="0" borderId="4" xfId="0" applyFont="1" applyBorder="1" applyAlignment="1">
      <alignment horizontal="left" vertical="top" wrapText="1" indent="5"/>
    </xf>
    <xf numFmtId="0" fontId="8" fillId="0" borderId="3" xfId="0" applyFont="1" applyBorder="1" applyAlignment="1">
      <alignment horizontal="left" vertical="top" wrapText="1" indent="5"/>
    </xf>
    <xf numFmtId="0" fontId="8" fillId="0" borderId="5" xfId="0" applyFont="1" applyBorder="1" applyAlignment="1">
      <alignment horizontal="left" vertical="top" wrapText="1" indent="7"/>
    </xf>
    <xf numFmtId="0" fontId="8" fillId="0" borderId="4" xfId="0" applyFont="1" applyBorder="1" applyAlignment="1">
      <alignment horizontal="left" vertical="top" wrapText="1" indent="7"/>
    </xf>
    <xf numFmtId="0" fontId="8" fillId="0" borderId="3" xfId="0" applyFont="1" applyBorder="1" applyAlignment="1">
      <alignment horizontal="left" vertical="top" wrapText="1" indent="7"/>
    </xf>
    <xf numFmtId="0" fontId="8" fillId="0" borderId="5"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9" fillId="0" borderId="6" xfId="0" applyFont="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5F0C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[SSS &amp; GSIS 1975-2023 Dataset.xlsx]Pivot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Tables'!$B$2:$B$3</c:f>
              <c:strCache>
                <c:ptCount val="1"/>
                <c:pt idx="0">
                  <c:v>GSIS</c:v>
                </c:pt>
              </c:strCache>
            </c:strRef>
          </c:tx>
          <c:spPr>
            <a:ln w="28575" cap="rnd">
              <a:solidFill>
                <a:schemeClr val="accent1"/>
              </a:solidFill>
              <a:round/>
            </a:ln>
            <a:effectLst/>
          </c:spPr>
          <c:marker>
            <c:symbol val="none"/>
          </c:marker>
          <c:cat>
            <c:strRef>
              <c:f>'Pivot Tables'!$A$4:$A$51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Tables'!$B$4:$B$51</c:f>
              <c:numCache>
                <c:formatCode>_(* #,##0.00_);_(* \(#,##0.00\);_(* "-"??_);_(@_)</c:formatCode>
                <c:ptCount val="48"/>
                <c:pt idx="0">
                  <c:v>56547200</c:v>
                </c:pt>
                <c:pt idx="1">
                  <c:v>56547200</c:v>
                </c:pt>
                <c:pt idx="2">
                  <c:v>56547200</c:v>
                </c:pt>
                <c:pt idx="3">
                  <c:v>56547200</c:v>
                </c:pt>
                <c:pt idx="4">
                  <c:v>56547200</c:v>
                </c:pt>
                <c:pt idx="5">
                  <c:v>72703000</c:v>
                </c:pt>
                <c:pt idx="6">
                  <c:v>102127000</c:v>
                </c:pt>
                <c:pt idx="7">
                  <c:v>98940000</c:v>
                </c:pt>
                <c:pt idx="8">
                  <c:v>124257000</c:v>
                </c:pt>
                <c:pt idx="9">
                  <c:v>106737000</c:v>
                </c:pt>
                <c:pt idx="10">
                  <c:v>130567000</c:v>
                </c:pt>
                <c:pt idx="11">
                  <c:v>152623000</c:v>
                </c:pt>
                <c:pt idx="12">
                  <c:v>217890000</c:v>
                </c:pt>
                <c:pt idx="13">
                  <c:v>192285000</c:v>
                </c:pt>
                <c:pt idx="14">
                  <c:v>214803000</c:v>
                </c:pt>
                <c:pt idx="15">
                  <c:v>394272000</c:v>
                </c:pt>
                <c:pt idx="16">
                  <c:v>347375000</c:v>
                </c:pt>
                <c:pt idx="17">
                  <c:v>356395000</c:v>
                </c:pt>
                <c:pt idx="18">
                  <c:v>471686000</c:v>
                </c:pt>
                <c:pt idx="19">
                  <c:v>538858000</c:v>
                </c:pt>
                <c:pt idx="20">
                  <c:v>525224000.00000006</c:v>
                </c:pt>
                <c:pt idx="21">
                  <c:v>547600000</c:v>
                </c:pt>
                <c:pt idx="22">
                  <c:v>490668000</c:v>
                </c:pt>
                <c:pt idx="23">
                  <c:v>525328000</c:v>
                </c:pt>
                <c:pt idx="24">
                  <c:v>490625000</c:v>
                </c:pt>
                <c:pt idx="25">
                  <c:v>571418000</c:v>
                </c:pt>
                <c:pt idx="26">
                  <c:v>631530000</c:v>
                </c:pt>
                <c:pt idx="27">
                  <c:v>562136000</c:v>
                </c:pt>
                <c:pt idx="28">
                  <c:v>1030830999.9999999</c:v>
                </c:pt>
                <c:pt idx="29">
                  <c:v>1228163000</c:v>
                </c:pt>
                <c:pt idx="30">
                  <c:v>1292489000</c:v>
                </c:pt>
                <c:pt idx="31">
                  <c:v>904030000</c:v>
                </c:pt>
                <c:pt idx="32">
                  <c:v>2169200000</c:v>
                </c:pt>
                <c:pt idx="33">
                  <c:v>1831500000</c:v>
                </c:pt>
                <c:pt idx="34">
                  <c:v>1775492000</c:v>
                </c:pt>
                <c:pt idx="35">
                  <c:v>1951876000</c:v>
                </c:pt>
                <c:pt idx="36">
                  <c:v>1969640000</c:v>
                </c:pt>
                <c:pt idx="37">
                  <c:v>2020972000</c:v>
                </c:pt>
                <c:pt idx="38">
                  <c:v>2243644000</c:v>
                </c:pt>
                <c:pt idx="39">
                  <c:v>2060610000.0000002</c:v>
                </c:pt>
                <c:pt idx="40">
                  <c:v>1924671000</c:v>
                </c:pt>
                <c:pt idx="41">
                  <c:v>2901184000</c:v>
                </c:pt>
                <c:pt idx="42">
                  <c:v>2632085000</c:v>
                </c:pt>
                <c:pt idx="43">
                  <c:v>2592801000</c:v>
                </c:pt>
                <c:pt idx="44">
                  <c:v>2752537000</c:v>
                </c:pt>
                <c:pt idx="45">
                  <c:v>2684831000</c:v>
                </c:pt>
                <c:pt idx="46">
                  <c:v>2814230000</c:v>
                </c:pt>
                <c:pt idx="47">
                  <c:v>2773103000</c:v>
                </c:pt>
              </c:numCache>
            </c:numRef>
          </c:val>
          <c:smooth val="0"/>
          <c:extLst>
            <c:ext xmlns:c16="http://schemas.microsoft.com/office/drawing/2014/chart" uri="{C3380CC4-5D6E-409C-BE32-E72D297353CC}">
              <c16:uniqueId val="{00000000-30A1-49AC-906F-012052639EF8}"/>
            </c:ext>
          </c:extLst>
        </c:ser>
        <c:ser>
          <c:idx val="1"/>
          <c:order val="1"/>
          <c:tx>
            <c:strRef>
              <c:f>'Pivot Tables'!$C$2:$C$3</c:f>
              <c:strCache>
                <c:ptCount val="1"/>
                <c:pt idx="0">
                  <c:v>SSS</c:v>
                </c:pt>
              </c:strCache>
            </c:strRef>
          </c:tx>
          <c:spPr>
            <a:ln w="28575" cap="rnd">
              <a:solidFill>
                <a:schemeClr val="accent3"/>
              </a:solidFill>
              <a:round/>
            </a:ln>
            <a:effectLst/>
          </c:spPr>
          <c:marker>
            <c:symbol val="none"/>
          </c:marker>
          <c:cat>
            <c:strRef>
              <c:f>'Pivot Tables'!$A$4:$A$51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Tables'!$C$4:$C$51</c:f>
              <c:numCache>
                <c:formatCode>_(* #,##0.00_);_(* \(#,##0.00\);_(* "-"??_);_(@_)</c:formatCode>
                <c:ptCount val="48"/>
                <c:pt idx="0">
                  <c:v>95400000</c:v>
                </c:pt>
                <c:pt idx="1">
                  <c:v>95400000</c:v>
                </c:pt>
                <c:pt idx="2">
                  <c:v>95400000</c:v>
                </c:pt>
                <c:pt idx="3">
                  <c:v>95400000</c:v>
                </c:pt>
                <c:pt idx="4">
                  <c:v>95400000</c:v>
                </c:pt>
                <c:pt idx="5">
                  <c:v>140600000</c:v>
                </c:pt>
                <c:pt idx="6">
                  <c:v>152600000</c:v>
                </c:pt>
                <c:pt idx="7">
                  <c:v>163500000</c:v>
                </c:pt>
                <c:pt idx="8">
                  <c:v>173400000</c:v>
                </c:pt>
                <c:pt idx="9">
                  <c:v>186900000</c:v>
                </c:pt>
                <c:pt idx="10">
                  <c:v>195800000</c:v>
                </c:pt>
                <c:pt idx="11">
                  <c:v>198100000</c:v>
                </c:pt>
                <c:pt idx="12">
                  <c:v>256600000.00000003</c:v>
                </c:pt>
                <c:pt idx="13">
                  <c:v>268399999.99999997</c:v>
                </c:pt>
                <c:pt idx="14">
                  <c:v>297700000</c:v>
                </c:pt>
                <c:pt idx="15">
                  <c:v>314000000</c:v>
                </c:pt>
                <c:pt idx="16">
                  <c:v>329100000</c:v>
                </c:pt>
                <c:pt idx="17">
                  <c:v>375700000</c:v>
                </c:pt>
                <c:pt idx="18">
                  <c:v>448700000</c:v>
                </c:pt>
                <c:pt idx="19">
                  <c:v>542700000</c:v>
                </c:pt>
                <c:pt idx="20">
                  <c:v>623400000</c:v>
                </c:pt>
                <c:pt idx="21">
                  <c:v>428272000</c:v>
                </c:pt>
                <c:pt idx="22">
                  <c:v>308023000</c:v>
                </c:pt>
                <c:pt idx="23">
                  <c:v>466884000</c:v>
                </c:pt>
                <c:pt idx="24">
                  <c:v>375600000</c:v>
                </c:pt>
                <c:pt idx="25">
                  <c:v>435000000</c:v>
                </c:pt>
                <c:pt idx="26">
                  <c:v>459840000</c:v>
                </c:pt>
                <c:pt idx="27">
                  <c:v>485519000</c:v>
                </c:pt>
                <c:pt idx="28">
                  <c:v>785723000</c:v>
                </c:pt>
                <c:pt idx="29">
                  <c:v>852242000</c:v>
                </c:pt>
                <c:pt idx="30">
                  <c:v>887120000</c:v>
                </c:pt>
                <c:pt idx="31">
                  <c:v>910210000</c:v>
                </c:pt>
                <c:pt idx="32">
                  <c:v>1059599999.9999999</c:v>
                </c:pt>
                <c:pt idx="33">
                  <c:v>1211083000</c:v>
                </c:pt>
                <c:pt idx="34">
                  <c:v>1183944000</c:v>
                </c:pt>
                <c:pt idx="35">
                  <c:v>1315867000</c:v>
                </c:pt>
                <c:pt idx="36">
                  <c:v>1368602000</c:v>
                </c:pt>
                <c:pt idx="37">
                  <c:v>1482501000</c:v>
                </c:pt>
                <c:pt idx="38">
                  <c:v>1605130000</c:v>
                </c:pt>
                <c:pt idx="39">
                  <c:v>1711204000</c:v>
                </c:pt>
                <c:pt idx="40">
                  <c:v>1828071000</c:v>
                </c:pt>
                <c:pt idx="41">
                  <c:v>1913619000</c:v>
                </c:pt>
                <c:pt idx="42">
                  <c:v>2107491000</c:v>
                </c:pt>
                <c:pt idx="43">
                  <c:v>2251166000</c:v>
                </c:pt>
                <c:pt idx="44">
                  <c:v>2401983000</c:v>
                </c:pt>
                <c:pt idx="45">
                  <c:v>2010823000</c:v>
                </c:pt>
                <c:pt idx="46">
                  <c:v>2119739999.9999998</c:v>
                </c:pt>
                <c:pt idx="47">
                  <c:v>2540008000</c:v>
                </c:pt>
              </c:numCache>
            </c:numRef>
          </c:val>
          <c:smooth val="0"/>
          <c:extLst>
            <c:ext xmlns:c16="http://schemas.microsoft.com/office/drawing/2014/chart" uri="{C3380CC4-5D6E-409C-BE32-E72D297353CC}">
              <c16:uniqueId val="{00000004-D163-4B8E-9396-4C55975C2124}"/>
            </c:ext>
          </c:extLst>
        </c:ser>
        <c:dLbls>
          <c:showLegendKey val="0"/>
          <c:showVal val="0"/>
          <c:showCatName val="0"/>
          <c:showSerName val="0"/>
          <c:showPercent val="0"/>
          <c:showBubbleSize val="0"/>
        </c:dLbls>
        <c:smooth val="0"/>
        <c:axId val="327515039"/>
        <c:axId val="327515519"/>
      </c:lineChart>
      <c:catAx>
        <c:axId val="3275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15519"/>
        <c:crosses val="autoZero"/>
        <c:auto val="1"/>
        <c:lblAlgn val="ctr"/>
        <c:lblOffset val="100"/>
        <c:noMultiLvlLbl val="0"/>
      </c:catAx>
      <c:valAx>
        <c:axId val="327515519"/>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0"/>
        <c:majorTickMark val="none"/>
        <c:minorTickMark val="none"/>
        <c:tickLblPos val="nextTo"/>
        <c:spPr>
          <a:noFill/>
          <a:ln>
            <a:solidFill>
              <a:schemeClr val="accent1">
                <a:alpha val="99000"/>
              </a:schemeClr>
            </a:solid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327515039"/>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[SSS &amp; GSIS 1975-2023 Dataset.xlsx]Pivot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Payout-Contribution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Tables'!$F$2:$F$3</c:f>
              <c:strCache>
                <c:ptCount val="1"/>
                <c:pt idx="0">
                  <c:v>GSIS</c:v>
                </c:pt>
              </c:strCache>
            </c:strRef>
          </c:tx>
          <c:spPr>
            <a:ln w="28575" cap="rnd">
              <a:solidFill>
                <a:schemeClr val="accent1"/>
              </a:solidFill>
              <a:round/>
            </a:ln>
            <a:effectLst/>
          </c:spPr>
          <c:marker>
            <c:symbol val="none"/>
          </c:marker>
          <c:cat>
            <c:strRef>
              <c:f>'Pivot Tables'!$E$4:$E$51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Tables'!$F$4:$F$51</c:f>
              <c:numCache>
                <c:formatCode>0%</c:formatCode>
                <c:ptCount val="48"/>
                <c:pt idx="0">
                  <c:v>0.2141361552826665</c:v>
                </c:pt>
                <c:pt idx="1">
                  <c:v>0.2141361552826665</c:v>
                </c:pt>
                <c:pt idx="2">
                  <c:v>0.2141361552826665</c:v>
                </c:pt>
                <c:pt idx="3">
                  <c:v>0.2141361552826665</c:v>
                </c:pt>
                <c:pt idx="4">
                  <c:v>0.2141361552826665</c:v>
                </c:pt>
                <c:pt idx="5">
                  <c:v>0.50506856663411415</c:v>
                </c:pt>
                <c:pt idx="6">
                  <c:v>0.40665054295142322</c:v>
                </c:pt>
                <c:pt idx="7">
                  <c:v>0.56205781281584799</c:v>
                </c:pt>
                <c:pt idx="8">
                  <c:v>0.72712201324673864</c:v>
                </c:pt>
                <c:pt idx="9">
                  <c:v>1.1681984691344145</c:v>
                </c:pt>
                <c:pt idx="10">
                  <c:v>1.3455160951848477</c:v>
                </c:pt>
                <c:pt idx="11">
                  <c:v>1.3064217057717382</c:v>
                </c:pt>
                <c:pt idx="12">
                  <c:v>0.98269769149570885</c:v>
                </c:pt>
                <c:pt idx="13">
                  <c:v>1.439997919754531</c:v>
                </c:pt>
                <c:pt idx="14">
                  <c:v>1.0976569228548949</c:v>
                </c:pt>
                <c:pt idx="15">
                  <c:v>0.83754362470578692</c:v>
                </c:pt>
                <c:pt idx="16">
                  <c:v>1.0535012594458437</c:v>
                </c:pt>
                <c:pt idx="17">
                  <c:v>1.1634843362000029</c:v>
                </c:pt>
                <c:pt idx="18">
                  <c:v>1.00219213629406</c:v>
                </c:pt>
                <c:pt idx="19">
                  <c:v>0.97680650561001225</c:v>
                </c:pt>
                <c:pt idx="20">
                  <c:v>1.0812339116262775</c:v>
                </c:pt>
                <c:pt idx="21">
                  <c:v>1.1254747991234477</c:v>
                </c:pt>
                <c:pt idx="22">
                  <c:v>1.3696633976538106</c:v>
                </c:pt>
                <c:pt idx="23">
                  <c:v>1.2742705509700607</c:v>
                </c:pt>
                <c:pt idx="24">
                  <c:v>1.5250955414012739</c:v>
                </c:pt>
                <c:pt idx="25">
                  <c:v>1.2753885946890018</c:v>
                </c:pt>
                <c:pt idx="26">
                  <c:v>1.2167592988456606</c:v>
                </c:pt>
                <c:pt idx="27">
                  <c:v>1.3570381544679579</c:v>
                </c:pt>
                <c:pt idx="28">
                  <c:v>0.51652404710374444</c:v>
                </c:pt>
                <c:pt idx="29">
                  <c:v>0.45275260694223812</c:v>
                </c:pt>
                <c:pt idx="30">
                  <c:v>0.43300175088530735</c:v>
                </c:pt>
                <c:pt idx="31">
                  <c:v>0.19264847405506455</c:v>
                </c:pt>
                <c:pt idx="32">
                  <c:v>3.1855061773925872E-2</c:v>
                </c:pt>
                <c:pt idx="33">
                  <c:v>2.5427245427245428E-2</c:v>
                </c:pt>
                <c:pt idx="34">
                  <c:v>3.6411879073518776E-2</c:v>
                </c:pt>
                <c:pt idx="35">
                  <c:v>1.5724359539233027E-2</c:v>
                </c:pt>
                <c:pt idx="36">
                  <c:v>3.4428626551044859E-2</c:v>
                </c:pt>
                <c:pt idx="37">
                  <c:v>1.8924557094309076E-2</c:v>
                </c:pt>
                <c:pt idx="38">
                  <c:v>2.5493794915770952E-2</c:v>
                </c:pt>
                <c:pt idx="39">
                  <c:v>7.7753674882680368E-2</c:v>
                </c:pt>
                <c:pt idx="40">
                  <c:v>9.2114444494669476E-2</c:v>
                </c:pt>
                <c:pt idx="41">
                  <c:v>7.6960992477553988E-2</c:v>
                </c:pt>
                <c:pt idx="42">
                  <c:v>8.3905345002156087E-2</c:v>
                </c:pt>
                <c:pt idx="43">
                  <c:v>0.16775872888046556</c:v>
                </c:pt>
                <c:pt idx="44">
                  <c:v>0.19248642252583709</c:v>
                </c:pt>
                <c:pt idx="45">
                  <c:v>7.3041841367296495E-2</c:v>
                </c:pt>
                <c:pt idx="46">
                  <c:v>0.16955863593238649</c:v>
                </c:pt>
                <c:pt idx="47">
                  <c:v>0.14905685075527306</c:v>
                </c:pt>
              </c:numCache>
            </c:numRef>
          </c:val>
          <c:smooth val="0"/>
          <c:extLst>
            <c:ext xmlns:c16="http://schemas.microsoft.com/office/drawing/2014/chart" uri="{C3380CC4-5D6E-409C-BE32-E72D297353CC}">
              <c16:uniqueId val="{00000000-C3D9-44CA-BECD-A1FD7C0D9415}"/>
            </c:ext>
          </c:extLst>
        </c:ser>
        <c:ser>
          <c:idx val="1"/>
          <c:order val="1"/>
          <c:tx>
            <c:strRef>
              <c:f>'Pivot Tables'!$G$2:$G$3</c:f>
              <c:strCache>
                <c:ptCount val="1"/>
                <c:pt idx="0">
                  <c:v>SSS</c:v>
                </c:pt>
              </c:strCache>
            </c:strRef>
          </c:tx>
          <c:spPr>
            <a:ln w="28575" cap="rnd">
              <a:solidFill>
                <a:schemeClr val="accent3"/>
              </a:solidFill>
              <a:round/>
            </a:ln>
            <a:effectLst/>
          </c:spPr>
          <c:marker>
            <c:symbol val="none"/>
          </c:marker>
          <c:cat>
            <c:strRef>
              <c:f>'Pivot Tables'!$E$4:$E$51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Tables'!$G$4:$G$51</c:f>
              <c:numCache>
                <c:formatCode>0%</c:formatCode>
                <c:ptCount val="48"/>
                <c:pt idx="0">
                  <c:v>0.1488469601677149</c:v>
                </c:pt>
                <c:pt idx="1">
                  <c:v>0.1488469601677149</c:v>
                </c:pt>
                <c:pt idx="2">
                  <c:v>0.1488469601677149</c:v>
                </c:pt>
                <c:pt idx="3">
                  <c:v>0.1488469601677149</c:v>
                </c:pt>
                <c:pt idx="4">
                  <c:v>0.1488469601677149</c:v>
                </c:pt>
                <c:pt idx="5">
                  <c:v>0.20839260312944524</c:v>
                </c:pt>
                <c:pt idx="6">
                  <c:v>0.23722149410222804</c:v>
                </c:pt>
                <c:pt idx="7">
                  <c:v>0.24036697247706423</c:v>
                </c:pt>
                <c:pt idx="8">
                  <c:v>0.28489042675893889</c:v>
                </c:pt>
                <c:pt idx="9">
                  <c:v>0.31567683253076512</c:v>
                </c:pt>
                <c:pt idx="10">
                  <c:v>0.34525025536261489</c:v>
                </c:pt>
                <c:pt idx="11">
                  <c:v>0.40585562847046946</c:v>
                </c:pt>
                <c:pt idx="12">
                  <c:v>0.34567420109119246</c:v>
                </c:pt>
                <c:pt idx="13">
                  <c:v>0.48025335320417295</c:v>
                </c:pt>
                <c:pt idx="14">
                  <c:v>0.51561975142761174</c:v>
                </c:pt>
                <c:pt idx="15">
                  <c:v>0.6047770700636943</c:v>
                </c:pt>
                <c:pt idx="16">
                  <c:v>0.65603160133697969</c:v>
                </c:pt>
                <c:pt idx="17">
                  <c:v>0.76417354272025551</c:v>
                </c:pt>
                <c:pt idx="18">
                  <c:v>0.83753064408290623</c:v>
                </c:pt>
                <c:pt idx="19">
                  <c:v>1.097844112769486</c:v>
                </c:pt>
                <c:pt idx="20">
                  <c:v>1.122874558870709</c:v>
                </c:pt>
                <c:pt idx="21">
                  <c:v>1.7309093286509507</c:v>
                </c:pt>
                <c:pt idx="22">
                  <c:v>2.7438860085123515</c:v>
                </c:pt>
                <c:pt idx="23">
                  <c:v>1.9368622612897421</c:v>
                </c:pt>
                <c:pt idx="24">
                  <c:v>2.7326943556975509</c:v>
                </c:pt>
                <c:pt idx="25">
                  <c:v>2.653103448275862</c:v>
                </c:pt>
                <c:pt idx="26">
                  <c:v>2.6130175713291579</c:v>
                </c:pt>
                <c:pt idx="27">
                  <c:v>2.6884632733219505</c:v>
                </c:pt>
                <c:pt idx="28">
                  <c:v>1.506256021524125</c:v>
                </c:pt>
                <c:pt idx="29">
                  <c:v>1.3367611546954974</c:v>
                </c:pt>
                <c:pt idx="30">
                  <c:v>1.2275836414464785</c:v>
                </c:pt>
                <c:pt idx="31">
                  <c:v>1.1760253128398943</c:v>
                </c:pt>
                <c:pt idx="32">
                  <c:v>1.0204133635334089</c:v>
                </c:pt>
                <c:pt idx="33">
                  <c:v>0.9077082247872359</c:v>
                </c:pt>
                <c:pt idx="34">
                  <c:v>0.91730098720885445</c:v>
                </c:pt>
                <c:pt idx="35">
                  <c:v>0.82532429189272172</c:v>
                </c:pt>
                <c:pt idx="36">
                  <c:v>0.78691321509101986</c:v>
                </c:pt>
                <c:pt idx="37">
                  <c:v>0.69197592446817913</c:v>
                </c:pt>
                <c:pt idx="38">
                  <c:v>0.61302386722570756</c:v>
                </c:pt>
                <c:pt idx="39">
                  <c:v>0.64100948805636271</c:v>
                </c:pt>
                <c:pt idx="40">
                  <c:v>0.58622394863219218</c:v>
                </c:pt>
                <c:pt idx="41">
                  <c:v>0.57226647519699581</c:v>
                </c:pt>
                <c:pt idx="42">
                  <c:v>0.54565737172780338</c:v>
                </c:pt>
                <c:pt idx="43">
                  <c:v>0.76485208109930591</c:v>
                </c:pt>
                <c:pt idx="44">
                  <c:v>0.68956483039222172</c:v>
                </c:pt>
                <c:pt idx="45">
                  <c:v>0.72079839946131508</c:v>
                </c:pt>
                <c:pt idx="46">
                  <c:v>1.0105857322124412</c:v>
                </c:pt>
                <c:pt idx="47">
                  <c:v>0.85344219388285392</c:v>
                </c:pt>
              </c:numCache>
            </c:numRef>
          </c:val>
          <c:smooth val="0"/>
          <c:extLst>
            <c:ext xmlns:c16="http://schemas.microsoft.com/office/drawing/2014/chart" uri="{C3380CC4-5D6E-409C-BE32-E72D297353CC}">
              <c16:uniqueId val="{00000004-5993-4A0F-9F7C-86CC3674BE59}"/>
            </c:ext>
          </c:extLst>
        </c:ser>
        <c:dLbls>
          <c:showLegendKey val="0"/>
          <c:showVal val="0"/>
          <c:showCatName val="0"/>
          <c:showSerName val="0"/>
          <c:showPercent val="0"/>
          <c:showBubbleSize val="0"/>
        </c:dLbls>
        <c:smooth val="0"/>
        <c:axId val="1268276848"/>
        <c:axId val="1268277328"/>
      </c:lineChart>
      <c:catAx>
        <c:axId val="126827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77328"/>
        <c:crosses val="autoZero"/>
        <c:auto val="1"/>
        <c:lblAlgn val="ctr"/>
        <c:lblOffset val="100"/>
        <c:noMultiLvlLbl val="0"/>
      </c:catAx>
      <c:valAx>
        <c:axId val="1268277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7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[SSS &amp; GSIS 1975-2023 Dataset.xlsx]Pivot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Payout Per Claim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Tables'!$J$2:$J$3</c:f>
              <c:strCache>
                <c:ptCount val="1"/>
                <c:pt idx="0">
                  <c:v>GSIS</c:v>
                </c:pt>
              </c:strCache>
            </c:strRef>
          </c:tx>
          <c:spPr>
            <a:ln w="28575" cap="rnd">
              <a:solidFill>
                <a:schemeClr val="accent1"/>
              </a:solidFill>
              <a:round/>
            </a:ln>
            <a:effectLst/>
          </c:spPr>
          <c:marker>
            <c:symbol val="none"/>
          </c:marker>
          <c:cat>
            <c:strRef>
              <c:f>'Pivot Tables'!$I$4:$I$51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Tables'!$J$4:$J$51</c:f>
              <c:numCache>
                <c:formatCode>_(* #,##0.00_);_(* \(#,##0.00\);_(* "-"??_);_(@_)</c:formatCode>
                <c:ptCount val="48"/>
                <c:pt idx="0">
                  <c:v>3176.8286283975231</c:v>
                </c:pt>
                <c:pt idx="1">
                  <c:v>3176.8286283975231</c:v>
                </c:pt>
                <c:pt idx="2">
                  <c:v>3176.8286283975231</c:v>
                </c:pt>
                <c:pt idx="3">
                  <c:v>3176.8286283975231</c:v>
                </c:pt>
                <c:pt idx="4">
                  <c:v>3176.8286283975231</c:v>
                </c:pt>
                <c:pt idx="5">
                  <c:v>3124.840439111565</c:v>
                </c:pt>
                <c:pt idx="6">
                  <c:v>3273.429494758414</c:v>
                </c:pt>
                <c:pt idx="7">
                  <c:v>4139.8049579394028</c:v>
                </c:pt>
                <c:pt idx="8">
                  <c:v>5713.6533232150759</c:v>
                </c:pt>
                <c:pt idx="9">
                  <c:v>6230.4502073652129</c:v>
                </c:pt>
                <c:pt idx="10">
                  <c:v>7109.3844846424672</c:v>
                </c:pt>
                <c:pt idx="11">
                  <c:v>15486.601941747573</c:v>
                </c:pt>
                <c:pt idx="12">
                  <c:v>6029.1715943008394</c:v>
                </c:pt>
                <c:pt idx="13">
                  <c:v>9790.3260024043557</c:v>
                </c:pt>
                <c:pt idx="14">
                  <c:v>2420.6149581643654</c:v>
                </c:pt>
                <c:pt idx="15">
                  <c:v>6687.3228027541518</c:v>
                </c:pt>
                <c:pt idx="16">
                  <c:v>6549.3852569035562</c:v>
                </c:pt>
                <c:pt idx="17">
                  <c:v>7157.0844192830145</c:v>
                </c:pt>
                <c:pt idx="18">
                  <c:v>7368.5194999532378</c:v>
                </c:pt>
                <c:pt idx="19">
                  <c:v>8860.8319445145862</c:v>
                </c:pt>
                <c:pt idx="20">
                  <c:v>8095.0208829273161</c:v>
                </c:pt>
                <c:pt idx="21">
                  <c:v>7790.9387404242407</c:v>
                </c:pt>
                <c:pt idx="22">
                  <c:v>8038.2025428492825</c:v>
                </c:pt>
                <c:pt idx="23">
                  <c:v>8138.1297412954682</c:v>
                </c:pt>
                <c:pt idx="24">
                  <c:v>11267.298107184268</c:v>
                </c:pt>
                <c:pt idx="25">
                  <c:v>11206.138327644001</c:v>
                </c:pt>
                <c:pt idx="26">
                  <c:v>12272.139263754691</c:v>
                </c:pt>
                <c:pt idx="27">
                  <c:v>12408.341195224308</c:v>
                </c:pt>
                <c:pt idx="28">
                  <c:v>206375.58139534883</c:v>
                </c:pt>
                <c:pt idx="29">
                  <c:v>121197.4716652136</c:v>
                </c:pt>
                <c:pt idx="30">
                  <c:v>177441.34432466709</c:v>
                </c:pt>
                <c:pt idx="31">
                  <c:v>1905.5955533185986</c:v>
                </c:pt>
                <c:pt idx="32">
                  <c:v>3593.9044052634317</c:v>
                </c:pt>
                <c:pt idx="33">
                  <c:v>2460.2461831052883</c:v>
                </c:pt>
                <c:pt idx="34">
                  <c:v>3530.6100158374747</c:v>
                </c:pt>
                <c:pt idx="35">
                  <c:v>6205.4185200161746</c:v>
                </c:pt>
                <c:pt idx="36">
                  <c:v>8556.7192429022089</c:v>
                </c:pt>
                <c:pt idx="37">
                  <c:v>6825.9860788863107</c:v>
                </c:pt>
                <c:pt idx="38">
                  <c:v>7983.1123517097003</c:v>
                </c:pt>
                <c:pt idx="39">
                  <c:v>9908.472479901051</c:v>
                </c:pt>
                <c:pt idx="40">
                  <c:v>5713.6871958490447</c:v>
                </c:pt>
                <c:pt idx="41">
                  <c:v>5526.136026136026</c:v>
                </c:pt>
                <c:pt idx="42">
                  <c:v>5388.0647994534984</c:v>
                </c:pt>
                <c:pt idx="43">
                  <c:v>10369.147515972156</c:v>
                </c:pt>
                <c:pt idx="44">
                  <c:v>11199.50114145599</c:v>
                </c:pt>
                <c:pt idx="45">
                  <c:v>7109.8905083025165</c:v>
                </c:pt>
                <c:pt idx="46">
                  <c:v>5498.1909941466565</c:v>
                </c:pt>
                <c:pt idx="47">
                  <c:v>4996.615332543578</c:v>
                </c:pt>
              </c:numCache>
            </c:numRef>
          </c:val>
          <c:smooth val="0"/>
          <c:extLst>
            <c:ext xmlns:c16="http://schemas.microsoft.com/office/drawing/2014/chart" uri="{C3380CC4-5D6E-409C-BE32-E72D297353CC}">
              <c16:uniqueId val="{00000000-45F8-4539-A38B-3D81EF19A7FE}"/>
            </c:ext>
          </c:extLst>
        </c:ser>
        <c:ser>
          <c:idx val="1"/>
          <c:order val="1"/>
          <c:tx>
            <c:strRef>
              <c:f>'Pivot Tables'!$K$2:$K$3</c:f>
              <c:strCache>
                <c:ptCount val="1"/>
                <c:pt idx="0">
                  <c:v>SSS</c:v>
                </c:pt>
              </c:strCache>
            </c:strRef>
          </c:tx>
          <c:spPr>
            <a:ln w="28575" cap="rnd">
              <a:solidFill>
                <a:schemeClr val="accent3"/>
              </a:solidFill>
              <a:round/>
            </a:ln>
            <a:effectLst/>
          </c:spPr>
          <c:marker>
            <c:symbol val="none"/>
          </c:marker>
          <c:cat>
            <c:strRef>
              <c:f>'Pivot Tables'!$I$4:$I$51</c:f>
              <c:strCache>
                <c:ptCount val="48"/>
                <c:pt idx="0">
                  <c:v>1975</c:v>
                </c:pt>
                <c:pt idx="1">
                  <c:v>1976</c:v>
                </c:pt>
                <c:pt idx="2">
                  <c:v>1977</c:v>
                </c:pt>
                <c:pt idx="3">
                  <c:v>1978</c:v>
                </c:pt>
                <c:pt idx="4">
                  <c:v>1979</c:v>
                </c:pt>
                <c:pt idx="5">
                  <c:v>1980</c:v>
                </c:pt>
                <c:pt idx="6">
                  <c:v>1981</c:v>
                </c:pt>
                <c:pt idx="7">
                  <c:v>1982</c:v>
                </c:pt>
                <c:pt idx="8">
                  <c:v>1983</c:v>
                </c:pt>
                <c:pt idx="9">
                  <c:v>1984</c:v>
                </c:pt>
                <c:pt idx="10">
                  <c:v>1985</c:v>
                </c:pt>
                <c:pt idx="11">
                  <c:v>1986</c:v>
                </c:pt>
                <c:pt idx="12">
                  <c:v>1987</c:v>
                </c:pt>
                <c:pt idx="13">
                  <c:v>1988</c:v>
                </c:pt>
                <c:pt idx="14">
                  <c:v>1989</c:v>
                </c:pt>
                <c:pt idx="15">
                  <c:v>1990</c:v>
                </c:pt>
                <c:pt idx="16">
                  <c:v>1991</c:v>
                </c:pt>
                <c:pt idx="17">
                  <c:v>1992</c:v>
                </c:pt>
                <c:pt idx="18">
                  <c:v>1993</c:v>
                </c:pt>
                <c:pt idx="19">
                  <c:v>1994</c:v>
                </c:pt>
                <c:pt idx="20">
                  <c:v>1995</c:v>
                </c:pt>
                <c:pt idx="21">
                  <c:v>1996</c:v>
                </c:pt>
                <c:pt idx="22">
                  <c:v>1997</c:v>
                </c:pt>
                <c:pt idx="23">
                  <c:v>1998</c:v>
                </c:pt>
                <c:pt idx="24">
                  <c:v>1999</c:v>
                </c:pt>
                <c:pt idx="25">
                  <c:v>2000</c:v>
                </c:pt>
                <c:pt idx="26">
                  <c:v>2001</c:v>
                </c:pt>
                <c:pt idx="27">
                  <c:v>2002</c:v>
                </c:pt>
                <c:pt idx="28">
                  <c:v>2003</c:v>
                </c:pt>
                <c:pt idx="29">
                  <c:v>2004</c:v>
                </c:pt>
                <c:pt idx="30">
                  <c:v>2005</c:v>
                </c:pt>
                <c:pt idx="31">
                  <c:v>2006</c:v>
                </c:pt>
                <c:pt idx="32">
                  <c:v>2007</c:v>
                </c:pt>
                <c:pt idx="33">
                  <c:v>2008</c:v>
                </c:pt>
                <c:pt idx="34">
                  <c:v>2009</c:v>
                </c:pt>
                <c:pt idx="35">
                  <c:v>2010</c:v>
                </c:pt>
                <c:pt idx="36">
                  <c:v>2011</c:v>
                </c:pt>
                <c:pt idx="37">
                  <c:v>2012</c:v>
                </c:pt>
                <c:pt idx="38">
                  <c:v>2013</c:v>
                </c:pt>
                <c:pt idx="39">
                  <c:v>2014</c:v>
                </c:pt>
                <c:pt idx="40">
                  <c:v>2015</c:v>
                </c:pt>
                <c:pt idx="41">
                  <c:v>2016</c:v>
                </c:pt>
                <c:pt idx="42">
                  <c:v>2017</c:v>
                </c:pt>
                <c:pt idx="43">
                  <c:v>2018</c:v>
                </c:pt>
                <c:pt idx="44">
                  <c:v>2019</c:v>
                </c:pt>
                <c:pt idx="45">
                  <c:v>2020</c:v>
                </c:pt>
                <c:pt idx="46">
                  <c:v>2021</c:v>
                </c:pt>
                <c:pt idx="47">
                  <c:v>2022</c:v>
                </c:pt>
              </c:strCache>
            </c:strRef>
          </c:cat>
          <c:val>
            <c:numRef>
              <c:f>'Pivot Tables'!$K$4:$K$51</c:f>
              <c:numCache>
                <c:formatCode>_(* #,##0.00_);_(* \(#,##0.00\);_(* "-"??_);_(@_)</c:formatCode>
                <c:ptCount val="48"/>
                <c:pt idx="0">
                  <c:v>235.07909915040429</c:v>
                </c:pt>
                <c:pt idx="1">
                  <c:v>235.07909915040429</c:v>
                </c:pt>
                <c:pt idx="2">
                  <c:v>235.07909915040429</c:v>
                </c:pt>
                <c:pt idx="3">
                  <c:v>235.07909915040429</c:v>
                </c:pt>
                <c:pt idx="4">
                  <c:v>235.07909915040429</c:v>
                </c:pt>
                <c:pt idx="5">
                  <c:v>411.63248103399832</c:v>
                </c:pt>
                <c:pt idx="6">
                  <c:v>432.23364497140335</c:v>
                </c:pt>
                <c:pt idx="7">
                  <c:v>417.98283398742859</c:v>
                </c:pt>
                <c:pt idx="8">
                  <c:v>571.3889145923938</c:v>
                </c:pt>
                <c:pt idx="9">
                  <c:v>817.08397961444712</c:v>
                </c:pt>
                <c:pt idx="10">
                  <c:v>1299.625108141882</c:v>
                </c:pt>
                <c:pt idx="11">
                  <c:v>1769.1325969282225</c:v>
                </c:pt>
                <c:pt idx="12">
                  <c:v>1990.6191790659575</c:v>
                </c:pt>
                <c:pt idx="13">
                  <c:v>2097.1966874379709</c:v>
                </c:pt>
                <c:pt idx="14">
                  <c:v>2810.8405054019408</c:v>
                </c:pt>
                <c:pt idx="15">
                  <c:v>3313.5578433083233</c:v>
                </c:pt>
                <c:pt idx="16">
                  <c:v>3727.8770612103945</c:v>
                </c:pt>
                <c:pt idx="17">
                  <c:v>4620.8816854710212</c:v>
                </c:pt>
                <c:pt idx="18">
                  <c:v>5512.2037080497539</c:v>
                </c:pt>
                <c:pt idx="19">
                  <c:v>6743.6332767402373</c:v>
                </c:pt>
                <c:pt idx="20">
                  <c:v>8372.8051289411997</c:v>
                </c:pt>
                <c:pt idx="21">
                  <c:v>7303.8800323171818</c:v>
                </c:pt>
                <c:pt idx="22">
                  <c:v>10620.6411239146</c:v>
                </c:pt>
                <c:pt idx="23">
                  <c:v>14825.884513230809</c:v>
                </c:pt>
                <c:pt idx="24">
                  <c:v>15207.953653079672</c:v>
                </c:pt>
                <c:pt idx="25">
                  <c:v>19460.416491020995</c:v>
                </c:pt>
                <c:pt idx="26">
                  <c:v>16420.274406909368</c:v>
                </c:pt>
                <c:pt idx="27">
                  <c:v>19588.804682224058</c:v>
                </c:pt>
                <c:pt idx="28">
                  <c:v>19385.749385749386</c:v>
                </c:pt>
                <c:pt idx="29">
                  <c:v>21471.672509329412</c:v>
                </c:pt>
                <c:pt idx="30">
                  <c:v>21635.323333664448</c:v>
                </c:pt>
                <c:pt idx="31">
                  <c:v>32264.219187991686</c:v>
                </c:pt>
                <c:pt idx="32">
                  <c:v>18506.606873887442</c:v>
                </c:pt>
                <c:pt idx="33">
                  <c:v>4069.001765574626</c:v>
                </c:pt>
                <c:pt idx="34">
                  <c:v>4011.5874469939863</c:v>
                </c:pt>
                <c:pt idx="35">
                  <c:v>5290.0056503779906</c:v>
                </c:pt>
                <c:pt idx="36">
                  <c:v>3928.8161067557758</c:v>
                </c:pt>
                <c:pt idx="37">
                  <c:v>3920.7896195226358</c:v>
                </c:pt>
                <c:pt idx="38">
                  <c:v>3908.7427851862444</c:v>
                </c:pt>
                <c:pt idx="39">
                  <c:v>4078.8552857137547</c:v>
                </c:pt>
                <c:pt idx="40">
                  <c:v>4316.0716083690777</c:v>
                </c:pt>
                <c:pt idx="41">
                  <c:v>4383.9773254976062</c:v>
                </c:pt>
                <c:pt idx="42">
                  <c:v>4702.8070405025192</c:v>
                </c:pt>
                <c:pt idx="43">
                  <c:v>6562.1972460106026</c:v>
                </c:pt>
                <c:pt idx="44">
                  <c:v>6516.0055548343189</c:v>
                </c:pt>
                <c:pt idx="45">
                  <c:v>6203.9242207630996</c:v>
                </c:pt>
                <c:pt idx="46">
                  <c:v>7314.8360616552955</c:v>
                </c:pt>
                <c:pt idx="47">
                  <c:v>6434.8412031691096</c:v>
                </c:pt>
              </c:numCache>
            </c:numRef>
          </c:val>
          <c:smooth val="0"/>
          <c:extLst>
            <c:ext xmlns:c16="http://schemas.microsoft.com/office/drawing/2014/chart" uri="{C3380CC4-5D6E-409C-BE32-E72D297353CC}">
              <c16:uniqueId val="{00000004-52A4-44CE-BFD0-7031FAE02A61}"/>
            </c:ext>
          </c:extLst>
        </c:ser>
        <c:dLbls>
          <c:showLegendKey val="0"/>
          <c:showVal val="0"/>
          <c:showCatName val="0"/>
          <c:showSerName val="0"/>
          <c:showPercent val="0"/>
          <c:showBubbleSize val="0"/>
        </c:dLbls>
        <c:smooth val="0"/>
        <c:axId val="1268290768"/>
        <c:axId val="1268291728"/>
      </c:lineChart>
      <c:catAx>
        <c:axId val="126829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91728"/>
        <c:crosses val="autoZero"/>
        <c:auto val="1"/>
        <c:lblAlgn val="ctr"/>
        <c:lblOffset val="100"/>
        <c:noMultiLvlLbl val="0"/>
      </c:catAx>
      <c:valAx>
        <c:axId val="1268291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90768"/>
        <c:crosses val="autoZero"/>
        <c:crossBetween val="between"/>
        <c:majorUnit val="2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83820</xdr:colOff>
      <xdr:row>11</xdr:row>
      <xdr:rowOff>91440</xdr:rowOff>
    </xdr:from>
    <xdr:to>
      <xdr:col>17</xdr:col>
      <xdr:colOff>761999</xdr:colOff>
      <xdr:row>21</xdr:row>
      <xdr:rowOff>152400</xdr:rowOff>
    </xdr:to>
    <xdr:graphicFrame macro="">
      <xdr:nvGraphicFramePr>
        <xdr:cNvPr id="2" name="Chart 1">
          <a:extLst>
            <a:ext uri="{FF2B5EF4-FFF2-40B4-BE49-F238E27FC236}">
              <a16:creationId xmlns:a16="http://schemas.microsoft.com/office/drawing/2014/main" id="{1FCDCAD6-167E-499B-A24A-77EAF1A66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0</xdr:row>
      <xdr:rowOff>487680</xdr:rowOff>
    </xdr:from>
    <xdr:to>
      <xdr:col>17</xdr:col>
      <xdr:colOff>746760</xdr:colOff>
      <xdr:row>11</xdr:row>
      <xdr:rowOff>22860</xdr:rowOff>
    </xdr:to>
    <xdr:graphicFrame macro="">
      <xdr:nvGraphicFramePr>
        <xdr:cNvPr id="3" name="Chart 2">
          <a:extLst>
            <a:ext uri="{FF2B5EF4-FFF2-40B4-BE49-F238E27FC236}">
              <a16:creationId xmlns:a16="http://schemas.microsoft.com/office/drawing/2014/main" id="{93B5CF4E-D2C2-4184-9E6E-142AAC933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236220</xdr:colOff>
      <xdr:row>0</xdr:row>
      <xdr:rowOff>510540</xdr:rowOff>
    </xdr:from>
    <xdr:to>
      <xdr:col>10</xdr:col>
      <xdr:colOff>594360</xdr:colOff>
      <xdr:row>21</xdr:row>
      <xdr:rowOff>144780</xdr:rowOff>
    </xdr:to>
    <xdr:graphicFrame macro="">
      <xdr:nvGraphicFramePr>
        <xdr:cNvPr id="4" name="Chart 3">
          <a:extLst>
            <a:ext uri="{FF2B5EF4-FFF2-40B4-BE49-F238E27FC236}">
              <a16:creationId xmlns:a16="http://schemas.microsoft.com/office/drawing/2014/main" id="{8BC3FA04-3F6E-483B-849F-AAD0619D3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0</xdr:row>
      <xdr:rowOff>510540</xdr:rowOff>
    </xdr:from>
    <xdr:to>
      <xdr:col>3</xdr:col>
      <xdr:colOff>152400</xdr:colOff>
      <xdr:row>6</xdr:row>
      <xdr:rowOff>38099</xdr:rowOff>
    </xdr:to>
    <mc:AlternateContent xmlns:mc="http://schemas.openxmlformats.org/markup-compatibility/2006" xmlns:a14="http://schemas.microsoft.com/office/drawing/2010/main">
      <mc:Choice Requires="a14">
        <xdr:graphicFrame macro="">
          <xdr:nvGraphicFramePr>
            <xdr:cNvPr id="7" name="System">
              <a:extLst>
                <a:ext uri="{FF2B5EF4-FFF2-40B4-BE49-F238E27FC236}">
                  <a16:creationId xmlns:a16="http://schemas.microsoft.com/office/drawing/2014/main" id="{A9053F33-925D-DE5C-EF77-87AA8626BD73}"/>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83820" y="510540"/>
              <a:ext cx="189738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6</xdr:row>
      <xdr:rowOff>114300</xdr:rowOff>
    </xdr:from>
    <xdr:to>
      <xdr:col>3</xdr:col>
      <xdr:colOff>160020</xdr:colOff>
      <xdr:row>21</xdr:row>
      <xdr:rowOff>160019</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F85D16BD-90D9-D898-BEF4-0E8C1538025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440" y="1554480"/>
              <a:ext cx="1897380" cy="2788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deon" refreshedDate="46140.207265393517" createdVersion="8" refreshedVersion="8" minRefreshableVersion="3" recordCount="96" xr:uid="{EF1A136B-7FBF-409C-83D9-F57D560A8DD7}">
  <cacheSource type="worksheet">
    <worksheetSource ref="A1:G97" sheet="Cleaned Data"/>
  </cacheSource>
  <cacheFields count="7">
    <cacheField name="System" numFmtId="0">
      <sharedItems count="2">
        <s v="GSIS"/>
        <s v="SSS"/>
      </sharedItems>
    </cacheField>
    <cacheField name="Year" numFmtId="0">
      <sharedItems containsSemiMixedTypes="0" containsString="0" containsNumber="1" containsInteger="1" minValue="1975" maxValue="2022" count="48">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sharedItems>
    </cacheField>
    <cacheField name="No. of Claims" numFmtId="0">
      <sharedItems containsSemiMixedTypes="0" containsString="0" containsNumber="1" minValue="2580" maxValue="336877"/>
    </cacheField>
    <cacheField name="Amount Paid" numFmtId="43">
      <sharedItems containsSemiMixedTypes="0" containsString="0" containsNumber="1" minValue="12108799.999999998" maxValue="2167750000"/>
    </cacheField>
    <cacheField name="Contributions Collected" numFmtId="43">
      <sharedItems containsSemiMixedTypes="0" containsString="0" containsNumber="1" minValue="56547200" maxValue="2901184000"/>
    </cacheField>
    <cacheField name="Claims-to-Contribution Ratio" numFmtId="9">
      <sharedItems containsSemiMixedTypes="0" containsString="0" containsNumber="1" minValue="1.5724359539233027E-2" maxValue="2.7438860085123515"/>
    </cacheField>
    <cacheField name="Average payout per claim" numFmtId="43">
      <sharedItems containsSemiMixedTypes="0" containsString="0" containsNumber="1" minValue="235.07909915040429" maxValue="206375.58139534883"/>
    </cacheField>
  </cacheFields>
  <extLst>
    <ext xmlns:x14="http://schemas.microsoft.com/office/spreadsheetml/2009/9/main" uri="{725AE2AE-9491-48be-B2B4-4EB974FC3084}">
      <x14:pivotCacheDefinition pivotCacheId="1302126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n v="3811.6"/>
    <n v="12108799.999999998"/>
    <n v="56547200"/>
    <n v="0.2141361552826665"/>
    <n v="3176.8286283975231"/>
  </r>
  <r>
    <x v="0"/>
    <x v="1"/>
    <n v="3811.6"/>
    <n v="12108799.999999998"/>
    <n v="56547200"/>
    <n v="0.2141361552826665"/>
    <n v="3176.8286283975231"/>
  </r>
  <r>
    <x v="0"/>
    <x v="2"/>
    <n v="3811.6"/>
    <n v="12108799.999999998"/>
    <n v="56547200"/>
    <n v="0.2141361552826665"/>
    <n v="3176.8286283975231"/>
  </r>
  <r>
    <x v="0"/>
    <x v="3"/>
    <n v="3811.6"/>
    <n v="12108799.999999998"/>
    <n v="56547200"/>
    <n v="0.2141361552826665"/>
    <n v="3176.8286283975231"/>
  </r>
  <r>
    <x v="0"/>
    <x v="4"/>
    <n v="3811.6"/>
    <n v="12108799.999999998"/>
    <n v="56547200"/>
    <n v="0.2141361552826665"/>
    <n v="3176.8286283975231"/>
  </r>
  <r>
    <x v="0"/>
    <x v="5"/>
    <n v="11751"/>
    <n v="36720000"/>
    <n v="72703000"/>
    <n v="0.50506856663411415"/>
    <n v="3124.840439111565"/>
  </r>
  <r>
    <x v="0"/>
    <x v="6"/>
    <n v="12687"/>
    <n v="41530000"/>
    <n v="102127000"/>
    <n v="0.40665054295142322"/>
    <n v="3273.429494758414"/>
  </r>
  <r>
    <x v="0"/>
    <x v="7"/>
    <n v="13433"/>
    <n v="55610000"/>
    <n v="98940000"/>
    <n v="0.56205781281584799"/>
    <n v="4139.8049579394028"/>
  </r>
  <r>
    <x v="0"/>
    <x v="8"/>
    <n v="15813"/>
    <n v="90350000"/>
    <n v="124257000"/>
    <n v="0.72712201324673864"/>
    <n v="5713.6533232150759"/>
  </r>
  <r>
    <x v="0"/>
    <x v="9"/>
    <n v="20013"/>
    <n v="124690000"/>
    <n v="106737000"/>
    <n v="1.1681984691344145"/>
    <n v="6230.4502073652129"/>
  </r>
  <r>
    <x v="0"/>
    <x v="10"/>
    <n v="24711"/>
    <n v="175680000"/>
    <n v="130567000"/>
    <n v="1.3455160951848477"/>
    <n v="7109.3844846424672"/>
  </r>
  <r>
    <x v="0"/>
    <x v="11"/>
    <n v="12875"/>
    <n v="199390000"/>
    <n v="152623000"/>
    <n v="1.3064217057717382"/>
    <n v="15486.601941747573"/>
  </r>
  <r>
    <x v="0"/>
    <x v="12"/>
    <n v="35514"/>
    <n v="214120000"/>
    <n v="217890000"/>
    <n v="0.98269769149570885"/>
    <n v="6029.1715943008394"/>
  </r>
  <r>
    <x v="0"/>
    <x v="13"/>
    <n v="28282"/>
    <n v="276890000"/>
    <n v="192285000"/>
    <n v="1.439997919754531"/>
    <n v="9790.3260024043557"/>
  </r>
  <r>
    <x v="0"/>
    <x v="14"/>
    <n v="97405"/>
    <n v="235780000"/>
    <n v="214803000"/>
    <n v="1.0976569228548949"/>
    <n v="2420.6149581643654"/>
  </r>
  <r>
    <x v="0"/>
    <x v="15"/>
    <n v="49380"/>
    <n v="330220000"/>
    <n v="394272000"/>
    <n v="0.83754362470578692"/>
    <n v="6687.3228027541518"/>
  </r>
  <r>
    <x v="0"/>
    <x v="16"/>
    <n v="55877"/>
    <n v="365960000"/>
    <n v="347375000"/>
    <n v="1.0535012594458437"/>
    <n v="6549.3852569035562"/>
  </r>
  <r>
    <x v="0"/>
    <x v="17"/>
    <n v="57937"/>
    <n v="414660000"/>
    <n v="356395000"/>
    <n v="1.1634843362000029"/>
    <n v="7157.0844192830145"/>
  </r>
  <r>
    <x v="0"/>
    <x v="18"/>
    <n v="64154"/>
    <n v="472720000"/>
    <n v="471686000"/>
    <n v="1.00219213629406"/>
    <n v="7368.5194999532378"/>
  </r>
  <r>
    <x v="0"/>
    <x v="19"/>
    <n v="59403"/>
    <n v="526360000"/>
    <n v="538858000"/>
    <n v="0.97680650561001225"/>
    <n v="8860.8319445145862"/>
  </r>
  <r>
    <x v="0"/>
    <x v="20"/>
    <n v="70153"/>
    <n v="567890000"/>
    <n v="525224000.00000006"/>
    <n v="1.0812339116262775"/>
    <n v="8095.0208829273161"/>
  </r>
  <r>
    <x v="0"/>
    <x v="21"/>
    <n v="79106"/>
    <n v="616310000"/>
    <n v="547600000"/>
    <n v="1.1254747991234477"/>
    <n v="7790.9387404242407"/>
  </r>
  <r>
    <x v="0"/>
    <x v="22"/>
    <n v="83607"/>
    <n v="672050000"/>
    <n v="490668000"/>
    <n v="1.3696633976538106"/>
    <n v="8038.2025428492825"/>
  </r>
  <r>
    <x v="0"/>
    <x v="23"/>
    <n v="82256"/>
    <n v="669410000"/>
    <n v="525328000"/>
    <n v="1.2742705509700607"/>
    <n v="8138.1297412954682"/>
  </r>
  <r>
    <x v="0"/>
    <x v="24"/>
    <n v="66409"/>
    <n v="748250000"/>
    <n v="490625000"/>
    <n v="1.5250955414012739"/>
    <n v="11267.298107184268"/>
  </r>
  <r>
    <x v="0"/>
    <x v="25"/>
    <n v="65034"/>
    <n v="728780000"/>
    <n v="571418000"/>
    <n v="1.2753885946890018"/>
    <n v="11206.138327644001"/>
  </r>
  <r>
    <x v="0"/>
    <x v="26"/>
    <n v="62615"/>
    <n v="768420000"/>
    <n v="631530000"/>
    <n v="1.2167592988456606"/>
    <n v="12272.139263754691"/>
  </r>
  <r>
    <x v="0"/>
    <x v="27"/>
    <n v="61478"/>
    <n v="762840000"/>
    <n v="562136000"/>
    <n v="1.3570381544679579"/>
    <n v="12408.341195224308"/>
  </r>
  <r>
    <x v="0"/>
    <x v="28"/>
    <n v="2580"/>
    <n v="532448999.99999994"/>
    <n v="1030830999.9999999"/>
    <n v="0.51652404710374444"/>
    <n v="206375.58139534883"/>
  </r>
  <r>
    <x v="0"/>
    <x v="29"/>
    <n v="4588"/>
    <n v="556054000"/>
    <n v="1228163000"/>
    <n v="0.45275260694223812"/>
    <n v="121197.4716652136"/>
  </r>
  <r>
    <x v="0"/>
    <x v="30"/>
    <n v="3154"/>
    <n v="559650000"/>
    <n v="1292489000"/>
    <n v="0.43300175088530735"/>
    <n v="177441.34432466709"/>
  </r>
  <r>
    <x v="0"/>
    <x v="31"/>
    <n v="91394"/>
    <n v="174160000"/>
    <n v="904030000"/>
    <n v="0.19264847405506455"/>
    <n v="1905.5955533185986"/>
  </r>
  <r>
    <x v="0"/>
    <x v="32"/>
    <n v="19227"/>
    <n v="69100000"/>
    <n v="2169200000"/>
    <n v="3.1855061773925872E-2"/>
    <n v="3593.9044052634317"/>
  </r>
  <r>
    <x v="0"/>
    <x v="33"/>
    <n v="18929"/>
    <n v="46570000"/>
    <n v="1831500000"/>
    <n v="2.5427245427245428E-2"/>
    <n v="2460.2461831052883"/>
  </r>
  <r>
    <x v="0"/>
    <x v="34"/>
    <n v="18311"/>
    <n v="64649000"/>
    <n v="1775492000"/>
    <n v="3.6411879073518776E-2"/>
    <n v="3530.6100158374747"/>
  </r>
  <r>
    <x v="0"/>
    <x v="35"/>
    <n v="4946"/>
    <n v="30692000"/>
    <n v="1951876000"/>
    <n v="1.5724359539233027E-2"/>
    <n v="6205.4185200161746"/>
  </r>
  <r>
    <x v="0"/>
    <x v="36"/>
    <n v="7925"/>
    <n v="67812000"/>
    <n v="1969640000"/>
    <n v="3.4428626551044859E-2"/>
    <n v="8556.7192429022089"/>
  </r>
  <r>
    <x v="0"/>
    <x v="37"/>
    <n v="5603"/>
    <n v="38246000"/>
    <n v="2020972000"/>
    <n v="1.8924557094309076E-2"/>
    <n v="6825.9860788863107"/>
  </r>
  <r>
    <x v="0"/>
    <x v="38"/>
    <n v="7165"/>
    <n v="57199000"/>
    <n v="2243644000"/>
    <n v="2.5493794915770952E-2"/>
    <n v="7983.1123517097003"/>
  </r>
  <r>
    <x v="0"/>
    <x v="39"/>
    <n v="16170"/>
    <n v="160220000"/>
    <n v="2060610000.0000002"/>
    <n v="7.7753674882680368E-2"/>
    <n v="9908.472479901051"/>
  </r>
  <r>
    <x v="0"/>
    <x v="40"/>
    <n v="31029"/>
    <n v="177290000"/>
    <n v="1924671000"/>
    <n v="9.2114444494669476E-2"/>
    <n v="5713.6871958490447"/>
  </r>
  <r>
    <x v="0"/>
    <x v="41"/>
    <n v="40404"/>
    <n v="223278000"/>
    <n v="2901184000"/>
    <n v="7.6960992477553988E-2"/>
    <n v="5526.136026136026"/>
  </r>
  <r>
    <x v="0"/>
    <x v="42"/>
    <n v="40988"/>
    <n v="220846000"/>
    <n v="2632085000"/>
    <n v="8.3905345002156087E-2"/>
    <n v="5388.0647994534984"/>
  </r>
  <r>
    <x v="0"/>
    <x v="43"/>
    <n v="41948"/>
    <n v="434965000"/>
    <n v="2592801000"/>
    <n v="0.16775872888046556"/>
    <n v="10369.147515972156"/>
  </r>
  <r>
    <x v="0"/>
    <x v="44"/>
    <n v="47308"/>
    <n v="529826000"/>
    <n v="2752537000"/>
    <n v="0.19248642252583709"/>
    <n v="11199.50114145599"/>
  </r>
  <r>
    <x v="0"/>
    <x v="45"/>
    <n v="27582"/>
    <n v="196105000"/>
    <n v="2684831000"/>
    <n v="7.3041841367296495E-2"/>
    <n v="7109.8905083025165"/>
  </r>
  <r>
    <x v="0"/>
    <x v="46"/>
    <n v="86788"/>
    <n v="477177000"/>
    <n v="2814230000"/>
    <n v="0.16955863593238649"/>
    <n v="5498.1909941466565"/>
  </r>
  <r>
    <x v="0"/>
    <x v="47"/>
    <n v="82726"/>
    <n v="413350000"/>
    <n v="2773103000"/>
    <n v="0.14905685075527306"/>
    <n v="4996.615332543578"/>
  </r>
  <r>
    <x v="1"/>
    <x v="0"/>
    <n v="60405.2"/>
    <n v="14200000"/>
    <n v="95400000"/>
    <n v="0.1488469601677149"/>
    <n v="235.07909915040429"/>
  </r>
  <r>
    <x v="1"/>
    <x v="1"/>
    <n v="60405.2"/>
    <n v="14200000"/>
    <n v="95400000"/>
    <n v="0.1488469601677149"/>
    <n v="235.07909915040429"/>
  </r>
  <r>
    <x v="1"/>
    <x v="2"/>
    <n v="60405.2"/>
    <n v="14200000"/>
    <n v="95400000"/>
    <n v="0.1488469601677149"/>
    <n v="235.07909915040429"/>
  </r>
  <r>
    <x v="1"/>
    <x v="3"/>
    <n v="60405.2"/>
    <n v="14200000"/>
    <n v="95400000"/>
    <n v="0.1488469601677149"/>
    <n v="235.07909915040429"/>
  </r>
  <r>
    <x v="1"/>
    <x v="4"/>
    <n v="60405.2"/>
    <n v="14200000"/>
    <n v="95400000"/>
    <n v="0.1488469601677149"/>
    <n v="235.07909915040429"/>
  </r>
  <r>
    <x v="1"/>
    <x v="5"/>
    <n v="71180"/>
    <n v="29300000"/>
    <n v="140600000"/>
    <n v="0.20839260312944524"/>
    <n v="411.63248103399832"/>
  </r>
  <r>
    <x v="1"/>
    <x v="6"/>
    <n v="83751"/>
    <n v="36200000"/>
    <n v="152600000"/>
    <n v="0.23722149410222804"/>
    <n v="432.23364497140335"/>
  </r>
  <r>
    <x v="1"/>
    <x v="7"/>
    <n v="94023"/>
    <n v="39300000"/>
    <n v="163500000"/>
    <n v="0.24036697247706423"/>
    <n v="417.98283398742859"/>
  </r>
  <r>
    <x v="1"/>
    <x v="8"/>
    <n v="86456"/>
    <n v="49400000"/>
    <n v="173400000"/>
    <n v="0.28489042675893889"/>
    <n v="571.3889145923938"/>
  </r>
  <r>
    <x v="1"/>
    <x v="9"/>
    <n v="72208"/>
    <n v="59000000"/>
    <n v="186900000"/>
    <n v="0.31567683253076512"/>
    <n v="817.08397961444712"/>
  </r>
  <r>
    <x v="1"/>
    <x v="10"/>
    <n v="52015"/>
    <n v="67600000"/>
    <n v="195800000"/>
    <n v="0.34525025536261489"/>
    <n v="1299.625108141882"/>
  </r>
  <r>
    <x v="1"/>
    <x v="11"/>
    <n v="45446"/>
    <n v="80400000"/>
    <n v="198100000"/>
    <n v="0.40585562847046946"/>
    <n v="1769.1325969282225"/>
  </r>
  <r>
    <x v="1"/>
    <x v="12"/>
    <n v="44559"/>
    <n v="88700000"/>
    <n v="256600000.00000003"/>
    <n v="0.34567420109119246"/>
    <n v="1990.6191790659575"/>
  </r>
  <r>
    <x v="1"/>
    <x v="13"/>
    <n v="61463"/>
    <n v="128900000"/>
    <n v="268399999.99999997"/>
    <n v="0.48025335320417295"/>
    <n v="2097.1966874379709"/>
  </r>
  <r>
    <x v="1"/>
    <x v="14"/>
    <n v="54610"/>
    <n v="153500000"/>
    <n v="297700000"/>
    <n v="0.51561975142761174"/>
    <n v="2810.8405054019408"/>
  </r>
  <r>
    <x v="1"/>
    <x v="15"/>
    <n v="57310"/>
    <n v="189900000"/>
    <n v="314000000"/>
    <n v="0.6047770700636943"/>
    <n v="3313.5578433083233"/>
  </r>
  <r>
    <x v="1"/>
    <x v="16"/>
    <n v="57915"/>
    <n v="215900000"/>
    <n v="329100000"/>
    <n v="0.65603160133697969"/>
    <n v="3727.8770612103945"/>
  </r>
  <r>
    <x v="1"/>
    <x v="17"/>
    <n v="62131"/>
    <n v="287100000"/>
    <n v="375700000"/>
    <n v="0.76417354272025551"/>
    <n v="4620.8816854710212"/>
  </r>
  <r>
    <x v="1"/>
    <x v="18"/>
    <n v="68176"/>
    <n v="375800000"/>
    <n v="448700000"/>
    <n v="0.83753064408290623"/>
    <n v="5512.2037080497539"/>
  </r>
  <r>
    <x v="1"/>
    <x v="19"/>
    <n v="88350"/>
    <n v="595800000"/>
    <n v="542700000"/>
    <n v="1.097844112769486"/>
    <n v="6743.6332767402373"/>
  </r>
  <r>
    <x v="1"/>
    <x v="20"/>
    <n v="83604"/>
    <n v="700000000"/>
    <n v="623400000"/>
    <n v="1.122874558870709"/>
    <n v="8372.8051289411997"/>
  </r>
  <r>
    <x v="1"/>
    <x v="21"/>
    <n v="101494"/>
    <n v="741300000"/>
    <n v="428272000"/>
    <n v="1.7309093286509507"/>
    <n v="7303.8800323171818"/>
  </r>
  <r>
    <x v="1"/>
    <x v="22"/>
    <n v="79579"/>
    <n v="845180000"/>
    <n v="308023000"/>
    <n v="2.7438860085123515"/>
    <n v="10620.6411239146"/>
  </r>
  <r>
    <x v="1"/>
    <x v="23"/>
    <n v="60994"/>
    <n v="904290000"/>
    <n v="466884000"/>
    <n v="1.9368622612897421"/>
    <n v="14825.884513230809"/>
  </r>
  <r>
    <x v="1"/>
    <x v="24"/>
    <n v="67491"/>
    <n v="1026400000.0000001"/>
    <n v="375600000"/>
    <n v="2.7326943556975509"/>
    <n v="15207.953653079672"/>
  </r>
  <r>
    <x v="1"/>
    <x v="25"/>
    <n v="59305"/>
    <n v="1154100000"/>
    <n v="435000000"/>
    <n v="2.653103448275862"/>
    <n v="19460.416491020995"/>
  </r>
  <r>
    <x v="1"/>
    <x v="26"/>
    <n v="73176"/>
    <n v="1201570000"/>
    <n v="459840000"/>
    <n v="2.6130175713291579"/>
    <n v="16420.274406909368"/>
  </r>
  <r>
    <x v="1"/>
    <x v="27"/>
    <n v="66635"/>
    <n v="1305300000"/>
    <n v="485519000"/>
    <n v="2.6884632733219505"/>
    <n v="19588.804682224058"/>
  </r>
  <r>
    <x v="1"/>
    <x v="28"/>
    <n v="61050"/>
    <n v="1183500000"/>
    <n v="785723000"/>
    <n v="1.506256021524125"/>
    <n v="19385.749385749386"/>
  </r>
  <r>
    <x v="1"/>
    <x v="29"/>
    <n v="53058"/>
    <n v="1139244000"/>
    <n v="852242000"/>
    <n v="1.3367611546954974"/>
    <n v="21471.672509329412"/>
  </r>
  <r>
    <x v="1"/>
    <x v="30"/>
    <n v="50335"/>
    <n v="1089014000"/>
    <n v="887120000"/>
    <n v="1.2275836414464785"/>
    <n v="21635.323333664448"/>
  </r>
  <r>
    <x v="1"/>
    <x v="31"/>
    <n v="33177"/>
    <n v="1070430000.0000001"/>
    <n v="910210000"/>
    <n v="1.1760253128398943"/>
    <n v="32264.219187991686"/>
  </r>
  <r>
    <x v="1"/>
    <x v="32"/>
    <n v="58424"/>
    <n v="1081230000"/>
    <n v="1059599999.9999999"/>
    <n v="1.0204133635334089"/>
    <n v="18506.606873887442"/>
  </r>
  <r>
    <x v="1"/>
    <x v="33"/>
    <n v="270167"/>
    <n v="1099310000"/>
    <n v="1211083000"/>
    <n v="0.9077082247872359"/>
    <n v="4069.001765574626"/>
  </r>
  <r>
    <x v="1"/>
    <x v="34"/>
    <n v="270724"/>
    <n v="1086033000"/>
    <n v="1183944000"/>
    <n v="0.91730098720885445"/>
    <n v="4011.5874469939863"/>
  </r>
  <r>
    <x v="1"/>
    <x v="35"/>
    <n v="205296"/>
    <n v="1086017000"/>
    <n v="1315867000"/>
    <n v="0.82532429189272172"/>
    <n v="5290.0056503779906"/>
  </r>
  <r>
    <x v="1"/>
    <x v="36"/>
    <n v="274121"/>
    <n v="1076971000"/>
    <n v="1368602000"/>
    <n v="0.78691321509101986"/>
    <n v="3928.8161067557758"/>
  </r>
  <r>
    <x v="1"/>
    <x v="37"/>
    <n v="261645"/>
    <n v="1025855000"/>
    <n v="1482501000"/>
    <n v="0.69197592446817913"/>
    <n v="3920.7896195226358"/>
  </r>
  <r>
    <x v="1"/>
    <x v="38"/>
    <n v="251739"/>
    <n v="983983000"/>
    <n v="1605130000"/>
    <n v="0.61302386722570756"/>
    <n v="3908.7427851862444"/>
  </r>
  <r>
    <x v="1"/>
    <x v="39"/>
    <n v="268923"/>
    <n v="1096898000"/>
    <n v="1711204000"/>
    <n v="0.64100948805636271"/>
    <n v="4078.8552857137547"/>
  </r>
  <r>
    <x v="1"/>
    <x v="40"/>
    <n v="248295"/>
    <n v="1071659000.0000001"/>
    <n v="1828071000"/>
    <n v="0.58622394863219218"/>
    <n v="4316.0716083690777"/>
  </r>
  <r>
    <x v="1"/>
    <x v="41"/>
    <n v="249796"/>
    <n v="1095100000"/>
    <n v="1913619000"/>
    <n v="0.57226647519699581"/>
    <n v="4383.9773254976062"/>
  </r>
  <r>
    <x v="1"/>
    <x v="42"/>
    <n v="244528"/>
    <n v="1149968000"/>
    <n v="2107491000"/>
    <n v="0.54565737172780338"/>
    <n v="4702.8070405025192"/>
  </r>
  <r>
    <x v="1"/>
    <x v="43"/>
    <n v="262383"/>
    <n v="1721809000"/>
    <n v="2251166000"/>
    <n v="0.76485208109930591"/>
    <n v="6562.1972460106026"/>
  </r>
  <r>
    <x v="1"/>
    <x v="44"/>
    <n v="254193"/>
    <n v="1656323000"/>
    <n v="2401983000"/>
    <n v="0.68956483039222172"/>
    <n v="6516.0055548343189"/>
  </r>
  <r>
    <x v="1"/>
    <x v="45"/>
    <n v="233626"/>
    <n v="1449398000"/>
    <n v="2010823000"/>
    <n v="0.72079839946131508"/>
    <n v="6203.9242207630996"/>
  </r>
  <r>
    <x v="1"/>
    <x v="46"/>
    <n v="292854"/>
    <n v="2142179000"/>
    <n v="2119739999.9999998"/>
    <n v="1.0105857322124412"/>
    <n v="7314.8360616552955"/>
  </r>
  <r>
    <x v="1"/>
    <x v="47"/>
    <n v="336877"/>
    <n v="2167750000"/>
    <n v="2540008000"/>
    <n v="0.85344219388285392"/>
    <n v="6434.84120316910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0C159-FC39-43DC-8D38-CA6426B8176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E2:G51" firstHeaderRow="1" firstDataRow="2" firstDataCol="1"/>
  <pivotFields count="7">
    <pivotField axis="axisCol" showAll="0">
      <items count="3">
        <item x="0"/>
        <item x="1"/>
        <item t="default"/>
      </items>
    </pivotField>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numFmtId="43" showAll="0"/>
    <pivotField numFmtId="43" showAll="0"/>
    <pivotField dataField="1" numFmtId="9" showAll="0"/>
    <pivotField numFmtId="43" showAll="0"/>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0"/>
  </colFields>
  <colItems count="2">
    <i>
      <x/>
    </i>
    <i>
      <x v="1"/>
    </i>
  </colItems>
  <dataFields count="1">
    <dataField name="Sum of Claims-to-Contribution Ratio" fld="5" baseField="0" baseItem="0" numFmtId="9"/>
  </dataFields>
  <chartFormats count="4">
    <chartFormat chart="3" format="7" series="1">
      <pivotArea type="data" outline="0" fieldPosition="0">
        <references count="1">
          <reference field="0" count="1" selected="0">
            <x v="0"/>
          </reference>
        </references>
      </pivotArea>
    </chartFormat>
    <chartFormat chart="3" format="8" series="1">
      <pivotArea type="data" outline="0" fieldPosition="0">
        <references count="1">
          <reference field="0" count="1" selected="0">
            <x v="1"/>
          </reference>
        </references>
      </pivotArea>
    </chartFormat>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F6E96-E49E-4EA9-8A13-4C07AE55D06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A2:C51" firstHeaderRow="1" firstDataRow="2" firstDataCol="1"/>
  <pivotFields count="7">
    <pivotField axis="axisCol" compact="0" outline="0" subtotalTop="0" showAll="0" defaultSubtotal="0">
      <items count="2">
        <item x="0"/>
        <item x="1"/>
      </items>
    </pivotField>
    <pivotField axis="axisRow" compact="0" outline="0" subtotalTop="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outline="0" subtotalTop="0" showAll="0" defaultSubtotal="0"/>
    <pivotField compact="0" numFmtId="43" outline="0" subtotalTop="0" showAll="0" defaultSubtotal="0"/>
    <pivotField dataField="1" compact="0" numFmtId="43" outline="0" subtotalTop="0" showAll="0" defaultSubtotal="0"/>
    <pivotField compact="0" numFmtId="9" outline="0" subtotalTop="0" showAll="0" defaultSubtotal="0"/>
    <pivotField compact="0" numFmtId="43" outline="0" subtotalTop="0" showAll="0" defaultSubtotal="0"/>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0"/>
  </colFields>
  <colItems count="2">
    <i>
      <x/>
    </i>
    <i>
      <x v="1"/>
    </i>
  </colItems>
  <dataFields count="1">
    <dataField name="Sum of Contributions Collected" fld="4" baseField="0" baseItem="0" numFmtId="43"/>
  </dataFields>
  <chartFormats count="4">
    <chartFormat chart="6" format="20" series="1">
      <pivotArea type="data" outline="0" fieldPosition="0">
        <references count="1">
          <reference field="0" count="1" selected="0">
            <x v="0"/>
          </reference>
        </references>
      </pivotArea>
    </chartFormat>
    <chartFormat chart="6" format="21" series="1">
      <pivotArea type="data" outline="0" fieldPosition="0">
        <references count="1">
          <reference field="0" count="1" selected="0">
            <x v="1"/>
          </reference>
        </references>
      </pivotArea>
    </chartFormat>
    <chartFormat chart="6" format="24" series="1">
      <pivotArea type="data" outline="0" fieldPosition="0">
        <references count="1">
          <reference field="4294967294" count="1" selected="0">
            <x v="0"/>
          </reference>
        </references>
      </pivotArea>
    </chartFormat>
    <chartFormat chart="6" format="2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257B4-0484-45E4-B432-5CC9B40B84D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I2:K51" firstHeaderRow="1" firstDataRow="2" firstDataCol="1"/>
  <pivotFields count="7">
    <pivotField axis="axisCol" showAll="0">
      <items count="3">
        <item x="0"/>
        <item x="1"/>
        <item t="default"/>
      </items>
    </pivotField>
    <pivotField axis="axisRow"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numFmtId="43" showAll="0"/>
    <pivotField numFmtId="43" showAll="0"/>
    <pivotField numFmtId="9" showAll="0"/>
    <pivotField dataField="1" numFmtId="43" showAll="0"/>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0"/>
  </colFields>
  <colItems count="2">
    <i>
      <x/>
    </i>
    <i>
      <x v="1"/>
    </i>
  </colItems>
  <dataFields count="1">
    <dataField name="Sum of Average payout per claim" fld="6" baseField="0" baseItem="0" numFmtId="43"/>
  </dataFields>
  <chartFormats count="5">
    <chartFormat chart="3" format="7" series="1">
      <pivotArea type="data" outline="0" fieldPosition="0">
        <references count="1">
          <reference field="0" count="1" selected="0">
            <x v="0"/>
          </reference>
        </references>
      </pivotArea>
    </chartFormat>
    <chartFormat chart="3" format="8" series="1">
      <pivotArea type="data" outline="0" fieldPosition="0">
        <references count="1">
          <reference field="0" count="1" selected="0">
            <x v="1"/>
          </reference>
        </references>
      </pivotArea>
    </chartFormat>
    <chartFormat chart="3" format="9" series="1">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2">
          <reference field="4294967294" count="1" selected="0">
            <x v="0"/>
          </reference>
          <reference field="0" count="1" selected="0">
            <x v="1"/>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E1BD349B-1CB7-4688-9C1F-7CB7F29F976F}" sourceName="System">
  <pivotTables>
    <pivotTable tabId="3" name="PivotTable2"/>
    <pivotTable tabId="3" name="PivotTable1"/>
    <pivotTable tabId="3" name="PivotTable3"/>
  </pivotTables>
  <data>
    <tabular pivotCacheId="13021267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B508F0-6D5F-4AC7-BECB-AAC69FB00A1D}" sourceName="Year">
  <pivotTables>
    <pivotTable tabId="3" name="PivotTable3"/>
    <pivotTable tabId="3" name="PivotTable1"/>
    <pivotTable tabId="3" name="PivotTable2"/>
  </pivotTables>
  <data>
    <tabular pivotCacheId="1302126791">
      <items count="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0BF992C6-0DA0-40D4-B81D-96C284C2B6C6}" cache="Slicer_System" caption="System" style="SlicerStyleOther2" rowHeight="234950"/>
  <slicer name="Year" xr10:uid="{FA3FB6B2-1682-4B77-B3D7-DC5E643A7FF6}" cache="Slicer_Year" caption="Year" startItem="12"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workbookViewId="0">
      <selection activeCell="F26" sqref="F26"/>
    </sheetView>
  </sheetViews>
  <sheetFormatPr defaultColWidth="17.33203125" defaultRowHeight="14.4" x14ac:dyDescent="0.3"/>
  <sheetData>
    <row r="1" spans="1:10" ht="15.6" x14ac:dyDescent="0.3">
      <c r="A1" s="49" t="s">
        <v>14</v>
      </c>
      <c r="B1" s="49"/>
      <c r="C1" s="49"/>
      <c r="D1" s="49"/>
      <c r="E1" s="49"/>
      <c r="F1" s="49"/>
      <c r="G1" s="49"/>
      <c r="H1" s="49"/>
      <c r="I1" s="49"/>
      <c r="J1" s="49"/>
    </row>
    <row r="2" spans="1:10" x14ac:dyDescent="0.3">
      <c r="A2" s="15"/>
      <c r="B2" s="40" t="s">
        <v>13</v>
      </c>
      <c r="C2" s="41"/>
      <c r="D2" s="42"/>
      <c r="E2" s="43" t="s">
        <v>12</v>
      </c>
      <c r="F2" s="44"/>
      <c r="G2" s="45"/>
      <c r="H2" s="46" t="s">
        <v>11</v>
      </c>
      <c r="I2" s="47"/>
      <c r="J2" s="48"/>
    </row>
    <row r="3" spans="1:10" ht="20.399999999999999" x14ac:dyDescent="0.3">
      <c r="A3" s="14" t="s">
        <v>10</v>
      </c>
      <c r="B3" s="11" t="s">
        <v>9</v>
      </c>
      <c r="C3" s="13" t="s">
        <v>8</v>
      </c>
      <c r="D3" s="12" t="s">
        <v>7</v>
      </c>
      <c r="E3" s="3" t="s">
        <v>6</v>
      </c>
      <c r="F3" s="11" t="s">
        <v>5</v>
      </c>
      <c r="G3" s="12" t="s">
        <v>4</v>
      </c>
      <c r="H3" s="11" t="s">
        <v>6</v>
      </c>
      <c r="I3" s="11" t="s">
        <v>5</v>
      </c>
      <c r="J3" s="3" t="s">
        <v>4</v>
      </c>
    </row>
    <row r="4" spans="1:10" x14ac:dyDescent="0.3">
      <c r="A4" s="7" t="s">
        <v>3</v>
      </c>
      <c r="B4" s="6">
        <v>19058</v>
      </c>
      <c r="C4" s="5">
        <v>60.543999999999997</v>
      </c>
      <c r="D4" s="5">
        <v>282.73599999999999</v>
      </c>
      <c r="E4" s="6">
        <v>302026</v>
      </c>
      <c r="F4" s="5">
        <v>71</v>
      </c>
      <c r="G4" s="5">
        <v>477</v>
      </c>
      <c r="H4" s="6">
        <v>321084</v>
      </c>
      <c r="I4" s="5">
        <v>131.54400000000001</v>
      </c>
      <c r="J4" s="5">
        <v>759.73599999999999</v>
      </c>
    </row>
    <row r="5" spans="1:10" x14ac:dyDescent="0.3">
      <c r="A5" s="8">
        <v>1980</v>
      </c>
      <c r="B5" s="6">
        <v>11751</v>
      </c>
      <c r="C5" s="5">
        <v>36.72</v>
      </c>
      <c r="D5" s="5">
        <v>72.703000000000003</v>
      </c>
      <c r="E5" s="6">
        <v>71180</v>
      </c>
      <c r="F5" s="5">
        <v>29.3</v>
      </c>
      <c r="G5" s="5">
        <v>140.6</v>
      </c>
      <c r="H5" s="6">
        <v>82931</v>
      </c>
      <c r="I5" s="5">
        <v>66.02</v>
      </c>
      <c r="J5" s="5">
        <v>213.303</v>
      </c>
    </row>
    <row r="6" spans="1:10" x14ac:dyDescent="0.3">
      <c r="A6" s="8">
        <v>1981</v>
      </c>
      <c r="B6" s="6">
        <v>12687</v>
      </c>
      <c r="C6" s="5">
        <v>41.53</v>
      </c>
      <c r="D6" s="5">
        <v>102.127</v>
      </c>
      <c r="E6" s="6">
        <v>83751</v>
      </c>
      <c r="F6" s="5">
        <v>36.200000000000003</v>
      </c>
      <c r="G6" s="5">
        <v>152.6</v>
      </c>
      <c r="H6" s="6">
        <v>96438</v>
      </c>
      <c r="I6" s="5">
        <v>77.73</v>
      </c>
      <c r="J6" s="5">
        <v>254.727</v>
      </c>
    </row>
    <row r="7" spans="1:10" x14ac:dyDescent="0.3">
      <c r="A7" s="8">
        <v>1982</v>
      </c>
      <c r="B7" s="6">
        <v>13433</v>
      </c>
      <c r="C7" s="5">
        <v>55.61</v>
      </c>
      <c r="D7" s="5">
        <v>98.94</v>
      </c>
      <c r="E7" s="6">
        <v>94023</v>
      </c>
      <c r="F7" s="5">
        <v>39.299999999999997</v>
      </c>
      <c r="G7" s="5">
        <v>163.5</v>
      </c>
      <c r="H7" s="6">
        <v>107456</v>
      </c>
      <c r="I7" s="5">
        <v>94.91</v>
      </c>
      <c r="J7" s="5">
        <v>262.44</v>
      </c>
    </row>
    <row r="8" spans="1:10" x14ac:dyDescent="0.3">
      <c r="A8" s="8">
        <v>1983</v>
      </c>
      <c r="B8" s="6">
        <v>15813</v>
      </c>
      <c r="C8" s="5">
        <v>90.35</v>
      </c>
      <c r="D8" s="5">
        <v>124.25700000000001</v>
      </c>
      <c r="E8" s="6">
        <v>86456</v>
      </c>
      <c r="F8" s="5">
        <v>49.4</v>
      </c>
      <c r="G8" s="5">
        <v>173.4</v>
      </c>
      <c r="H8" s="6">
        <v>102269</v>
      </c>
      <c r="I8" s="5">
        <v>139.75</v>
      </c>
      <c r="J8" s="5">
        <v>297.65699999999998</v>
      </c>
    </row>
    <row r="9" spans="1:10" x14ac:dyDescent="0.3">
      <c r="A9" s="8">
        <v>1984</v>
      </c>
      <c r="B9" s="6">
        <v>20013</v>
      </c>
      <c r="C9" s="5">
        <v>124.69</v>
      </c>
      <c r="D9" s="5">
        <v>106.73699999999999</v>
      </c>
      <c r="E9" s="6">
        <v>72208</v>
      </c>
      <c r="F9" s="5">
        <v>59</v>
      </c>
      <c r="G9" s="5">
        <v>186.9</v>
      </c>
      <c r="H9" s="6">
        <v>92221</v>
      </c>
      <c r="I9" s="5">
        <v>183.69</v>
      </c>
      <c r="J9" s="5">
        <v>293.637</v>
      </c>
    </row>
    <row r="10" spans="1:10" x14ac:dyDescent="0.3">
      <c r="A10" s="8">
        <v>1985</v>
      </c>
      <c r="B10" s="6">
        <v>24711</v>
      </c>
      <c r="C10" s="5">
        <v>175.68</v>
      </c>
      <c r="D10" s="5">
        <v>130.56700000000001</v>
      </c>
      <c r="E10" s="6">
        <v>52015</v>
      </c>
      <c r="F10" s="5">
        <v>67.599999999999994</v>
      </c>
      <c r="G10" s="5">
        <v>195.8</v>
      </c>
      <c r="H10" s="6">
        <v>76726</v>
      </c>
      <c r="I10" s="5">
        <v>243.28</v>
      </c>
      <c r="J10" s="5">
        <v>326.36700000000002</v>
      </c>
    </row>
    <row r="11" spans="1:10" x14ac:dyDescent="0.3">
      <c r="A11" s="8">
        <v>1986</v>
      </c>
      <c r="B11" s="6">
        <v>12875</v>
      </c>
      <c r="C11" s="5">
        <v>199.39</v>
      </c>
      <c r="D11" s="5">
        <v>152.62299999999999</v>
      </c>
      <c r="E11" s="6">
        <v>45446</v>
      </c>
      <c r="F11" s="5">
        <v>80.400000000000006</v>
      </c>
      <c r="G11" s="5">
        <v>198.1</v>
      </c>
      <c r="H11" s="6">
        <v>58321</v>
      </c>
      <c r="I11" s="5">
        <v>279.79000000000002</v>
      </c>
      <c r="J11" s="5">
        <v>350.72300000000001</v>
      </c>
    </row>
    <row r="12" spans="1:10" x14ac:dyDescent="0.3">
      <c r="A12" s="8">
        <v>1987</v>
      </c>
      <c r="B12" s="6">
        <v>35514</v>
      </c>
      <c r="C12" s="5">
        <v>214.12</v>
      </c>
      <c r="D12" s="9">
        <v>217.89</v>
      </c>
      <c r="E12" s="6">
        <v>44559</v>
      </c>
      <c r="F12" s="5">
        <v>88.7</v>
      </c>
      <c r="G12" s="5">
        <v>256.60000000000002</v>
      </c>
      <c r="H12" s="6">
        <v>80073</v>
      </c>
      <c r="I12" s="5">
        <v>302.82</v>
      </c>
      <c r="J12" s="5">
        <v>474.49</v>
      </c>
    </row>
    <row r="13" spans="1:10" x14ac:dyDescent="0.3">
      <c r="A13" s="8">
        <v>1988</v>
      </c>
      <c r="B13" s="6">
        <v>28282</v>
      </c>
      <c r="C13" s="5">
        <v>276.89</v>
      </c>
      <c r="D13" s="5">
        <v>192.285</v>
      </c>
      <c r="E13" s="6">
        <v>61463</v>
      </c>
      <c r="F13" s="5">
        <v>128.9</v>
      </c>
      <c r="G13" s="5">
        <v>268.39999999999998</v>
      </c>
      <c r="H13" s="6">
        <v>89745</v>
      </c>
      <c r="I13" s="5">
        <v>405.79</v>
      </c>
      <c r="J13" s="5">
        <v>460.685</v>
      </c>
    </row>
    <row r="14" spans="1:10" x14ac:dyDescent="0.3">
      <c r="A14" s="8">
        <v>1989</v>
      </c>
      <c r="B14" s="6">
        <v>97405</v>
      </c>
      <c r="C14" s="5">
        <v>235.78</v>
      </c>
      <c r="D14" s="5">
        <v>214.803</v>
      </c>
      <c r="E14" s="6">
        <v>54610</v>
      </c>
      <c r="F14" s="5">
        <v>153.5</v>
      </c>
      <c r="G14" s="5">
        <v>297.7</v>
      </c>
      <c r="H14" s="6">
        <v>152015</v>
      </c>
      <c r="I14" s="5">
        <v>389.28</v>
      </c>
      <c r="J14" s="5">
        <v>512.50300000000004</v>
      </c>
    </row>
    <row r="15" spans="1:10" x14ac:dyDescent="0.3">
      <c r="A15" s="8">
        <v>1990</v>
      </c>
      <c r="B15" s="6">
        <v>49380</v>
      </c>
      <c r="C15" s="5">
        <v>330.22</v>
      </c>
      <c r="D15" s="5">
        <v>394.27199999999999</v>
      </c>
      <c r="E15" s="6">
        <v>57310</v>
      </c>
      <c r="F15" s="5">
        <v>189.9</v>
      </c>
      <c r="G15" s="5">
        <v>314</v>
      </c>
      <c r="H15" s="6">
        <v>106690</v>
      </c>
      <c r="I15" s="5">
        <v>520.12</v>
      </c>
      <c r="J15" s="5">
        <v>708.27200000000005</v>
      </c>
    </row>
    <row r="16" spans="1:10" x14ac:dyDescent="0.3">
      <c r="A16" s="8">
        <v>1991</v>
      </c>
      <c r="B16" s="6">
        <v>55877</v>
      </c>
      <c r="C16" s="5">
        <v>365.96</v>
      </c>
      <c r="D16" s="5">
        <v>347.375</v>
      </c>
      <c r="E16" s="6">
        <v>57915</v>
      </c>
      <c r="F16" s="5">
        <v>215.9</v>
      </c>
      <c r="G16" s="5">
        <v>329.1</v>
      </c>
      <c r="H16" s="6">
        <v>113792</v>
      </c>
      <c r="I16" s="5">
        <v>581.86</v>
      </c>
      <c r="J16" s="5">
        <v>676.47500000000002</v>
      </c>
    </row>
    <row r="17" spans="1:10" x14ac:dyDescent="0.3">
      <c r="A17" s="8">
        <v>1992</v>
      </c>
      <c r="B17" s="6">
        <v>57937</v>
      </c>
      <c r="C17" s="5">
        <v>414.66</v>
      </c>
      <c r="D17" s="5">
        <v>356.39499999999998</v>
      </c>
      <c r="E17" s="6">
        <v>62131</v>
      </c>
      <c r="F17" s="5">
        <v>287.10000000000002</v>
      </c>
      <c r="G17" s="5">
        <v>375.7</v>
      </c>
      <c r="H17" s="6">
        <v>120068</v>
      </c>
      <c r="I17" s="5">
        <v>701.76</v>
      </c>
      <c r="J17" s="5">
        <v>732.09500000000003</v>
      </c>
    </row>
    <row r="18" spans="1:10" x14ac:dyDescent="0.3">
      <c r="A18" s="8">
        <v>1993</v>
      </c>
      <c r="B18" s="6">
        <v>64154</v>
      </c>
      <c r="C18" s="5">
        <v>472.72</v>
      </c>
      <c r="D18" s="5">
        <v>471.68599999999998</v>
      </c>
      <c r="E18" s="6">
        <v>68176</v>
      </c>
      <c r="F18" s="5">
        <v>375.8</v>
      </c>
      <c r="G18" s="5">
        <v>448.7</v>
      </c>
      <c r="H18" s="6">
        <v>132330</v>
      </c>
      <c r="I18" s="5">
        <v>848.52</v>
      </c>
      <c r="J18" s="5">
        <v>920.38599999999997</v>
      </c>
    </row>
    <row r="19" spans="1:10" x14ac:dyDescent="0.3">
      <c r="A19" s="8">
        <v>1994</v>
      </c>
      <c r="B19" s="6">
        <v>59403</v>
      </c>
      <c r="C19" s="5">
        <v>526.36</v>
      </c>
      <c r="D19" s="5">
        <v>538.85799999999995</v>
      </c>
      <c r="E19" s="6">
        <v>88350</v>
      </c>
      <c r="F19" s="5">
        <v>595.79999999999995</v>
      </c>
      <c r="G19" s="5">
        <v>542.70000000000005</v>
      </c>
      <c r="H19" s="6">
        <v>147753</v>
      </c>
      <c r="I19" s="4">
        <v>1122.1600000000001</v>
      </c>
      <c r="J19" s="4">
        <v>1081.558</v>
      </c>
    </row>
    <row r="20" spans="1:10" x14ac:dyDescent="0.3">
      <c r="A20" s="8">
        <v>1995</v>
      </c>
      <c r="B20" s="6">
        <v>70153</v>
      </c>
      <c r="C20" s="5">
        <v>567.89</v>
      </c>
      <c r="D20" s="5">
        <v>525.22400000000005</v>
      </c>
      <c r="E20" s="6">
        <v>83604</v>
      </c>
      <c r="F20" s="5">
        <v>700</v>
      </c>
      <c r="G20" s="5">
        <v>623.4</v>
      </c>
      <c r="H20" s="6">
        <v>153757</v>
      </c>
      <c r="I20" s="4">
        <v>1267.8900000000001</v>
      </c>
      <c r="J20" s="4">
        <v>1148.624</v>
      </c>
    </row>
    <row r="21" spans="1:10" x14ac:dyDescent="0.3">
      <c r="A21" s="8">
        <v>1996</v>
      </c>
      <c r="B21" s="6">
        <v>79106</v>
      </c>
      <c r="C21" s="5">
        <v>616.30999999999995</v>
      </c>
      <c r="D21" s="10">
        <v>547.6</v>
      </c>
      <c r="E21" s="6">
        <v>101494</v>
      </c>
      <c r="F21" s="5">
        <v>741.3</v>
      </c>
      <c r="G21" s="5">
        <v>428.27199999999999</v>
      </c>
      <c r="H21" s="6">
        <v>180600</v>
      </c>
      <c r="I21" s="4">
        <v>1357.61</v>
      </c>
      <c r="J21" s="5">
        <v>975.87199999999996</v>
      </c>
    </row>
    <row r="22" spans="1:10" x14ac:dyDescent="0.3">
      <c r="A22" s="8">
        <v>1997</v>
      </c>
      <c r="B22" s="6">
        <v>83607</v>
      </c>
      <c r="C22" s="5">
        <v>672.05</v>
      </c>
      <c r="D22" s="5">
        <v>490.66800000000001</v>
      </c>
      <c r="E22" s="6">
        <v>79579</v>
      </c>
      <c r="F22" s="5">
        <v>845.18</v>
      </c>
      <c r="G22" s="5">
        <v>308.02300000000002</v>
      </c>
      <c r="H22" s="6">
        <v>163186</v>
      </c>
      <c r="I22" s="4">
        <v>1517.23</v>
      </c>
      <c r="J22" s="5">
        <v>798.69100000000003</v>
      </c>
    </row>
    <row r="23" spans="1:10" x14ac:dyDescent="0.3">
      <c r="A23" s="8">
        <v>1998</v>
      </c>
      <c r="B23" s="6">
        <v>82256</v>
      </c>
      <c r="C23" s="5">
        <v>669.41</v>
      </c>
      <c r="D23" s="5">
        <v>525.32799999999997</v>
      </c>
      <c r="E23" s="6">
        <v>60994</v>
      </c>
      <c r="F23" s="5">
        <v>904.29</v>
      </c>
      <c r="G23" s="5">
        <v>466.88400000000001</v>
      </c>
      <c r="H23" s="6">
        <v>143250</v>
      </c>
      <c r="I23" s="4">
        <v>1573.7</v>
      </c>
      <c r="J23" s="5">
        <v>992.21199999999999</v>
      </c>
    </row>
    <row r="24" spans="1:10" x14ac:dyDescent="0.3">
      <c r="A24" s="8">
        <v>1999</v>
      </c>
      <c r="B24" s="6">
        <v>66409</v>
      </c>
      <c r="C24" s="5">
        <v>748.25</v>
      </c>
      <c r="D24" s="5">
        <v>490.625</v>
      </c>
      <c r="E24" s="6">
        <v>67491</v>
      </c>
      <c r="F24" s="4">
        <v>1026.4000000000001</v>
      </c>
      <c r="G24" s="5">
        <v>375.6</v>
      </c>
      <c r="H24" s="6">
        <v>133900</v>
      </c>
      <c r="I24" s="4">
        <v>1774.65</v>
      </c>
      <c r="J24" s="5">
        <v>866.22500000000002</v>
      </c>
    </row>
    <row r="25" spans="1:10" x14ac:dyDescent="0.3">
      <c r="A25" s="8">
        <v>2000</v>
      </c>
      <c r="B25" s="6">
        <v>65034</v>
      </c>
      <c r="C25" s="5">
        <v>728.78</v>
      </c>
      <c r="D25" s="5">
        <v>571.41800000000001</v>
      </c>
      <c r="E25" s="6">
        <v>59305</v>
      </c>
      <c r="F25" s="4">
        <v>1154.0999999999999</v>
      </c>
      <c r="G25" s="5">
        <v>435</v>
      </c>
      <c r="H25" s="6">
        <v>124339</v>
      </c>
      <c r="I25" s="4">
        <v>1882.88</v>
      </c>
      <c r="J25" s="4">
        <v>1006.418</v>
      </c>
    </row>
    <row r="26" spans="1:10" x14ac:dyDescent="0.3">
      <c r="A26" s="8">
        <v>2001</v>
      </c>
      <c r="B26" s="6">
        <v>62615</v>
      </c>
      <c r="C26" s="5">
        <v>768.42</v>
      </c>
      <c r="D26" s="9">
        <v>631.53</v>
      </c>
      <c r="E26" s="6">
        <v>73176</v>
      </c>
      <c r="F26" s="4">
        <v>1201.57</v>
      </c>
      <c r="G26" s="5">
        <v>459.84</v>
      </c>
      <c r="H26" s="6">
        <v>135791</v>
      </c>
      <c r="I26" s="4">
        <v>1969.99</v>
      </c>
      <c r="J26" s="4">
        <v>1091.3699999999999</v>
      </c>
    </row>
    <row r="27" spans="1:10" x14ac:dyDescent="0.3">
      <c r="A27" s="8">
        <v>2002</v>
      </c>
      <c r="B27" s="6">
        <v>61478</v>
      </c>
      <c r="C27" s="5">
        <v>762.84</v>
      </c>
      <c r="D27" s="5">
        <v>562.13599999999997</v>
      </c>
      <c r="E27" s="6">
        <v>66635</v>
      </c>
      <c r="F27" s="4">
        <v>1305.3</v>
      </c>
      <c r="G27" s="5">
        <v>485.51900000000001</v>
      </c>
      <c r="H27" s="6">
        <v>128113</v>
      </c>
      <c r="I27" s="4">
        <v>2068.14</v>
      </c>
      <c r="J27" s="4">
        <v>1047.655</v>
      </c>
    </row>
    <row r="28" spans="1:10" x14ac:dyDescent="0.3">
      <c r="A28" s="8">
        <v>2003</v>
      </c>
      <c r="B28" s="6">
        <v>2580</v>
      </c>
      <c r="C28" s="5">
        <v>532.44899999999996</v>
      </c>
      <c r="D28" s="4">
        <v>1030.8309999999999</v>
      </c>
      <c r="E28" s="6">
        <v>61050</v>
      </c>
      <c r="F28" s="4">
        <v>1183.5</v>
      </c>
      <c r="G28" s="5">
        <v>785.72299999999996</v>
      </c>
      <c r="H28" s="6">
        <v>63630</v>
      </c>
      <c r="I28" s="4">
        <v>1715.9490000000001</v>
      </c>
      <c r="J28" s="4">
        <v>1816.5540000000001</v>
      </c>
    </row>
    <row r="29" spans="1:10" x14ac:dyDescent="0.3">
      <c r="A29" s="8">
        <v>2004</v>
      </c>
      <c r="B29" s="6">
        <v>4588</v>
      </c>
      <c r="C29" s="5">
        <v>556.05399999999997</v>
      </c>
      <c r="D29" s="4">
        <v>1228.163</v>
      </c>
      <c r="E29" s="6">
        <v>53058</v>
      </c>
      <c r="F29" s="4">
        <v>1139.2439999999999</v>
      </c>
      <c r="G29" s="5">
        <v>852.24199999999996</v>
      </c>
      <c r="H29" s="6">
        <v>57646</v>
      </c>
      <c r="I29" s="4">
        <v>1695.298</v>
      </c>
      <c r="J29" s="4">
        <v>2080.4050000000002</v>
      </c>
    </row>
    <row r="30" spans="1:10" x14ac:dyDescent="0.3">
      <c r="A30" s="8">
        <v>2005</v>
      </c>
      <c r="B30" s="6">
        <v>3154</v>
      </c>
      <c r="C30" s="9">
        <v>559.65</v>
      </c>
      <c r="D30" s="4">
        <v>1292.489</v>
      </c>
      <c r="E30" s="6">
        <v>50335</v>
      </c>
      <c r="F30" s="4">
        <v>1089.0139999999999</v>
      </c>
      <c r="G30" s="5">
        <v>887.12</v>
      </c>
      <c r="H30" s="6">
        <v>53489</v>
      </c>
      <c r="I30" s="4">
        <v>1648.664</v>
      </c>
      <c r="J30" s="4">
        <v>2179.6089999999999</v>
      </c>
    </row>
    <row r="31" spans="1:10" x14ac:dyDescent="0.3">
      <c r="A31" s="8">
        <v>2006</v>
      </c>
      <c r="B31" s="6">
        <v>91394</v>
      </c>
      <c r="C31" s="9">
        <v>174.16</v>
      </c>
      <c r="D31" s="5">
        <v>904.03</v>
      </c>
      <c r="E31" s="6">
        <v>33177</v>
      </c>
      <c r="F31" s="4">
        <v>1070.43</v>
      </c>
      <c r="G31" s="5">
        <v>910.21</v>
      </c>
      <c r="H31" s="6">
        <v>124571</v>
      </c>
      <c r="I31" s="4">
        <v>1244.5899999999999</v>
      </c>
      <c r="J31" s="4">
        <v>1814.24</v>
      </c>
    </row>
    <row r="32" spans="1:10" x14ac:dyDescent="0.3">
      <c r="A32" s="8">
        <v>2007</v>
      </c>
      <c r="B32" s="6">
        <v>19227</v>
      </c>
      <c r="C32" s="5">
        <v>69.099999999999994</v>
      </c>
      <c r="D32" s="4">
        <v>2169.1999999999998</v>
      </c>
      <c r="E32" s="6">
        <v>58424</v>
      </c>
      <c r="F32" s="4">
        <v>1081.23</v>
      </c>
      <c r="G32" s="4">
        <v>1059.5999999999999</v>
      </c>
      <c r="H32" s="6">
        <v>77651</v>
      </c>
      <c r="I32" s="4">
        <v>1150.33</v>
      </c>
      <c r="J32" s="4">
        <v>3228.8</v>
      </c>
    </row>
    <row r="33" spans="1:10" x14ac:dyDescent="0.3">
      <c r="A33" s="8">
        <v>2008</v>
      </c>
      <c r="B33" s="6">
        <v>18929</v>
      </c>
      <c r="C33" s="5">
        <v>46.57</v>
      </c>
      <c r="D33" s="4">
        <v>1831.5</v>
      </c>
      <c r="E33" s="6">
        <v>270167</v>
      </c>
      <c r="F33" s="4">
        <v>1099.31</v>
      </c>
      <c r="G33" s="4">
        <v>1211.0830000000001</v>
      </c>
      <c r="H33" s="6">
        <v>289096</v>
      </c>
      <c r="I33" s="4">
        <v>1145.8800000000001</v>
      </c>
      <c r="J33" s="4">
        <v>3042.5830000000001</v>
      </c>
    </row>
    <row r="34" spans="1:10" x14ac:dyDescent="0.3">
      <c r="A34" s="8">
        <v>2009</v>
      </c>
      <c r="B34" s="6">
        <v>18311</v>
      </c>
      <c r="C34" s="5">
        <v>64.649000000000001</v>
      </c>
      <c r="D34" s="4">
        <v>1775.492</v>
      </c>
      <c r="E34" s="6">
        <v>270724</v>
      </c>
      <c r="F34" s="4">
        <v>1086.0329999999999</v>
      </c>
      <c r="G34" s="4">
        <v>1183.944</v>
      </c>
      <c r="H34" s="6">
        <v>289035</v>
      </c>
      <c r="I34" s="4">
        <v>1150.682</v>
      </c>
      <c r="J34" s="4">
        <v>2959.4360000000001</v>
      </c>
    </row>
    <row r="35" spans="1:10" x14ac:dyDescent="0.3">
      <c r="A35" s="8">
        <v>2010</v>
      </c>
      <c r="B35" s="6">
        <v>4946</v>
      </c>
      <c r="C35" s="5">
        <v>30.692</v>
      </c>
      <c r="D35" s="4">
        <v>1951.876</v>
      </c>
      <c r="E35" s="6">
        <v>205296</v>
      </c>
      <c r="F35" s="4">
        <v>1086.0170000000001</v>
      </c>
      <c r="G35" s="4">
        <v>1315.867</v>
      </c>
      <c r="H35" s="6">
        <v>210242</v>
      </c>
      <c r="I35" s="4">
        <v>1116.7090000000001</v>
      </c>
      <c r="J35" s="4">
        <v>3267.7429999999999</v>
      </c>
    </row>
    <row r="36" spans="1:10" x14ac:dyDescent="0.3">
      <c r="A36" s="8">
        <v>2011</v>
      </c>
      <c r="B36" s="6">
        <v>7925</v>
      </c>
      <c r="C36" s="5">
        <v>67.811999999999998</v>
      </c>
      <c r="D36" s="4">
        <v>1969.64</v>
      </c>
      <c r="E36" s="6">
        <v>274121</v>
      </c>
      <c r="F36" s="4">
        <v>1076.971</v>
      </c>
      <c r="G36" s="4">
        <v>1368.6020000000001</v>
      </c>
      <c r="H36" s="6">
        <v>282046</v>
      </c>
      <c r="I36" s="4">
        <v>1144.7829999999999</v>
      </c>
      <c r="J36" s="4">
        <v>3338.2420000000002</v>
      </c>
    </row>
    <row r="37" spans="1:10" x14ac:dyDescent="0.3">
      <c r="A37" s="8">
        <v>2012</v>
      </c>
      <c r="B37" s="6">
        <v>5603</v>
      </c>
      <c r="C37" s="5">
        <v>38.246000000000002</v>
      </c>
      <c r="D37" s="4">
        <v>2020.972</v>
      </c>
      <c r="E37" s="6">
        <v>261645</v>
      </c>
      <c r="F37" s="4">
        <v>1025.855</v>
      </c>
      <c r="G37" s="4">
        <v>1482.501</v>
      </c>
      <c r="H37" s="6">
        <v>267248</v>
      </c>
      <c r="I37" s="4">
        <v>1064.1010000000001</v>
      </c>
      <c r="J37" s="4">
        <v>3503.473</v>
      </c>
    </row>
    <row r="38" spans="1:10" x14ac:dyDescent="0.3">
      <c r="A38" s="8">
        <v>2013</v>
      </c>
      <c r="B38" s="6">
        <v>7165</v>
      </c>
      <c r="C38" s="5">
        <v>57.198999999999998</v>
      </c>
      <c r="D38" s="4">
        <v>2243.6439999999998</v>
      </c>
      <c r="E38" s="6">
        <v>251739</v>
      </c>
      <c r="F38" s="5">
        <v>983.98299999999995</v>
      </c>
      <c r="G38" s="4">
        <v>1605.13</v>
      </c>
      <c r="H38" s="6">
        <v>258904</v>
      </c>
      <c r="I38" s="4">
        <v>1041.182</v>
      </c>
      <c r="J38" s="4">
        <v>3848.7739999999999</v>
      </c>
    </row>
    <row r="39" spans="1:10" x14ac:dyDescent="0.3">
      <c r="A39" s="8">
        <v>2014</v>
      </c>
      <c r="B39" s="6">
        <v>16170</v>
      </c>
      <c r="C39" s="5">
        <v>160.22</v>
      </c>
      <c r="D39" s="4">
        <v>2060.61</v>
      </c>
      <c r="E39" s="6">
        <v>268923</v>
      </c>
      <c r="F39" s="4">
        <v>1096.8979999999999</v>
      </c>
      <c r="G39" s="4">
        <v>1711.204</v>
      </c>
      <c r="H39" s="6">
        <v>285093</v>
      </c>
      <c r="I39" s="4">
        <v>1257.1179999999999</v>
      </c>
      <c r="J39" s="4">
        <v>3771.8139999999999</v>
      </c>
    </row>
    <row r="40" spans="1:10" x14ac:dyDescent="0.3">
      <c r="A40" s="8">
        <v>2015</v>
      </c>
      <c r="B40" s="6">
        <v>31029</v>
      </c>
      <c r="C40" s="5">
        <v>177.29</v>
      </c>
      <c r="D40" s="4">
        <v>1924.671</v>
      </c>
      <c r="E40" s="6">
        <v>248295</v>
      </c>
      <c r="F40" s="4">
        <v>1071.6590000000001</v>
      </c>
      <c r="G40" s="4">
        <v>1828.0709999999999</v>
      </c>
      <c r="H40" s="6">
        <v>279324</v>
      </c>
      <c r="I40" s="4">
        <v>1248.9490000000001</v>
      </c>
      <c r="J40" s="4">
        <v>3752.7420000000002</v>
      </c>
    </row>
    <row r="41" spans="1:10" x14ac:dyDescent="0.3">
      <c r="A41" s="8">
        <v>2016</v>
      </c>
      <c r="B41" s="6">
        <v>40404</v>
      </c>
      <c r="C41" s="5">
        <v>223.27799999999999</v>
      </c>
      <c r="D41" s="4">
        <v>2901.1840000000002</v>
      </c>
      <c r="E41" s="6">
        <v>249796</v>
      </c>
      <c r="F41" s="4">
        <v>1095.0999999999999</v>
      </c>
      <c r="G41" s="4">
        <v>1913.6189999999999</v>
      </c>
      <c r="H41" s="6">
        <v>290200</v>
      </c>
      <c r="I41" s="4">
        <v>1318.3779999999999</v>
      </c>
      <c r="J41" s="4">
        <v>4814.8029999999999</v>
      </c>
    </row>
    <row r="42" spans="1:10" x14ac:dyDescent="0.3">
      <c r="A42" s="8">
        <v>2017</v>
      </c>
      <c r="B42" s="6">
        <v>40988</v>
      </c>
      <c r="C42" s="5">
        <v>220.846</v>
      </c>
      <c r="D42" s="4">
        <v>2632.085</v>
      </c>
      <c r="E42" s="6">
        <v>244528</v>
      </c>
      <c r="F42" s="4">
        <v>1149.9680000000001</v>
      </c>
      <c r="G42" s="4">
        <v>2107.491</v>
      </c>
      <c r="H42" s="6">
        <v>285516</v>
      </c>
      <c r="I42" s="4">
        <v>1370.8140000000001</v>
      </c>
      <c r="J42" s="4">
        <v>4739.576</v>
      </c>
    </row>
    <row r="43" spans="1:10" x14ac:dyDescent="0.3">
      <c r="A43" s="8">
        <v>2018</v>
      </c>
      <c r="B43" s="6">
        <v>41948</v>
      </c>
      <c r="C43" s="5">
        <v>434.96499999999997</v>
      </c>
      <c r="D43" s="4">
        <v>2592.8009999999999</v>
      </c>
      <c r="E43" s="6">
        <v>262383</v>
      </c>
      <c r="F43" s="4">
        <v>1721.809</v>
      </c>
      <c r="G43" s="4">
        <v>2251.1660000000002</v>
      </c>
      <c r="H43" s="6">
        <v>304331</v>
      </c>
      <c r="I43" s="4">
        <v>2156.7739999999999</v>
      </c>
      <c r="J43" s="4">
        <v>4843.9669999999996</v>
      </c>
    </row>
    <row r="44" spans="1:10" x14ac:dyDescent="0.3">
      <c r="A44" s="8">
        <v>2019</v>
      </c>
      <c r="B44" s="6">
        <v>47308</v>
      </c>
      <c r="C44" s="5">
        <v>529.82600000000002</v>
      </c>
      <c r="D44" s="4">
        <v>2752.5369999999998</v>
      </c>
      <c r="E44" s="6">
        <v>254193</v>
      </c>
      <c r="F44" s="4">
        <v>1656.3230000000001</v>
      </c>
      <c r="G44" s="4">
        <v>2401.9830000000002</v>
      </c>
      <c r="H44" s="6">
        <v>301501</v>
      </c>
      <c r="I44" s="4">
        <v>2186.1489999999999</v>
      </c>
      <c r="J44" s="4">
        <v>5154.5200000000004</v>
      </c>
    </row>
    <row r="45" spans="1:10" x14ac:dyDescent="0.3">
      <c r="A45" s="8">
        <v>2020</v>
      </c>
      <c r="B45" s="6">
        <v>27582</v>
      </c>
      <c r="C45" s="5">
        <v>196.10499999999999</v>
      </c>
      <c r="D45" s="4">
        <v>2684.8310000000001</v>
      </c>
      <c r="E45" s="6">
        <v>233626</v>
      </c>
      <c r="F45" s="4">
        <v>1449.3979999999999</v>
      </c>
      <c r="G45" s="4">
        <v>2010.8230000000001</v>
      </c>
      <c r="H45" s="6">
        <v>261208</v>
      </c>
      <c r="I45" s="4">
        <v>1645.5029999999999</v>
      </c>
      <c r="J45" s="4">
        <v>4695.6540000000005</v>
      </c>
    </row>
    <row r="46" spans="1:10" x14ac:dyDescent="0.3">
      <c r="A46" s="8">
        <v>2021</v>
      </c>
      <c r="B46" s="6">
        <v>86788</v>
      </c>
      <c r="C46" s="5">
        <v>477.17700000000002</v>
      </c>
      <c r="D46" s="4">
        <v>2814.23</v>
      </c>
      <c r="E46" s="6">
        <v>292854</v>
      </c>
      <c r="F46" s="4">
        <v>2142.1790000000001</v>
      </c>
      <c r="G46" s="4">
        <v>2119.7399999999998</v>
      </c>
      <c r="H46" s="6">
        <v>379642</v>
      </c>
      <c r="I46" s="4">
        <v>2619.3560000000002</v>
      </c>
      <c r="J46" s="4">
        <v>4933.97</v>
      </c>
    </row>
    <row r="47" spans="1:10" x14ac:dyDescent="0.3">
      <c r="A47" s="8">
        <v>2022</v>
      </c>
      <c r="B47" s="6">
        <v>82726</v>
      </c>
      <c r="C47" s="5">
        <v>413.35</v>
      </c>
      <c r="D47" s="4">
        <v>2773.1030000000001</v>
      </c>
      <c r="E47" s="6">
        <v>336877</v>
      </c>
      <c r="F47" s="4">
        <v>2167.75</v>
      </c>
      <c r="G47" s="4">
        <v>2540.0079999999998</v>
      </c>
      <c r="H47" s="6">
        <v>419603</v>
      </c>
      <c r="I47" s="4">
        <v>2581.1</v>
      </c>
      <c r="J47" s="4">
        <v>5313.1109999999999</v>
      </c>
    </row>
    <row r="48" spans="1:10" x14ac:dyDescent="0.3">
      <c r="A48" s="7" t="s">
        <v>2</v>
      </c>
      <c r="B48" s="6">
        <v>19225</v>
      </c>
      <c r="C48" s="5">
        <v>105.482</v>
      </c>
      <c r="D48" s="4">
        <v>1410.402</v>
      </c>
      <c r="E48" s="6">
        <v>127353</v>
      </c>
      <c r="F48" s="5">
        <v>880.41800000000001</v>
      </c>
      <c r="G48" s="4">
        <v>1483.306</v>
      </c>
      <c r="H48" s="6">
        <v>146578</v>
      </c>
      <c r="I48" s="5">
        <v>985.9</v>
      </c>
      <c r="J48" s="4">
        <v>2893.7080000000001</v>
      </c>
    </row>
    <row r="49" spans="1:10" x14ac:dyDescent="0.3">
      <c r="A49" s="3" t="s">
        <v>1</v>
      </c>
      <c r="B49" s="2">
        <v>1766941</v>
      </c>
      <c r="C49" s="1">
        <v>14290.294</v>
      </c>
      <c r="D49" s="1">
        <v>51113.074000000001</v>
      </c>
      <c r="E49" s="2">
        <v>6202461</v>
      </c>
      <c r="F49" s="1">
        <v>36699.029000000002</v>
      </c>
      <c r="G49" s="1">
        <v>41132.771000000001</v>
      </c>
      <c r="H49" s="2">
        <v>7969402</v>
      </c>
      <c r="I49" s="1">
        <v>50989.322999999997</v>
      </c>
      <c r="J49" s="1">
        <v>92245.845000000001</v>
      </c>
    </row>
    <row r="50" spans="1:10" x14ac:dyDescent="0.3">
      <c r="A50" s="50" t="s">
        <v>0</v>
      </c>
      <c r="B50" s="50"/>
      <c r="C50" s="50"/>
      <c r="D50" s="50"/>
      <c r="E50" s="50"/>
      <c r="F50" s="50"/>
      <c r="G50" s="50"/>
      <c r="H50" s="50"/>
      <c r="I50" s="50"/>
      <c r="J50" s="50"/>
    </row>
  </sheetData>
  <mergeCells count="5">
    <mergeCell ref="B2:D2"/>
    <mergeCell ref="E2:G2"/>
    <mergeCell ref="H2:J2"/>
    <mergeCell ref="A1:J1"/>
    <mergeCell ref="A50:J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9DFD-C673-4A11-B22D-8560D9300133}">
  <dimension ref="A1:L109"/>
  <sheetViews>
    <sheetView topLeftCell="A17" workbookViewId="0">
      <selection activeCell="E17" sqref="E17"/>
    </sheetView>
  </sheetViews>
  <sheetFormatPr defaultColWidth="18.44140625" defaultRowHeight="14.4" x14ac:dyDescent="0.3"/>
  <cols>
    <col min="1" max="5" width="18.44140625" style="22"/>
    <col min="6" max="6" width="16" style="22" customWidth="1"/>
    <col min="7" max="7" width="17.109375" style="22" customWidth="1"/>
    <col min="8" max="11" width="18.44140625" style="22"/>
    <col min="12" max="12" width="3.5546875" style="22" customWidth="1"/>
    <col min="13" max="16384" width="18.44140625" style="22"/>
  </cols>
  <sheetData>
    <row r="1" spans="1:12" s="32" customFormat="1" ht="43.2" x14ac:dyDescent="0.3">
      <c r="A1" s="31" t="s">
        <v>25</v>
      </c>
      <c r="B1" s="20" t="s">
        <v>16</v>
      </c>
      <c r="C1" s="20" t="s">
        <v>15</v>
      </c>
      <c r="D1" s="20" t="s">
        <v>17</v>
      </c>
      <c r="E1" s="20" t="s">
        <v>18</v>
      </c>
      <c r="F1" s="20" t="s">
        <v>28</v>
      </c>
      <c r="G1" s="35" t="s">
        <v>30</v>
      </c>
      <c r="L1" s="21"/>
    </row>
    <row r="2" spans="1:12" x14ac:dyDescent="0.3">
      <c r="A2" s="19" t="s">
        <v>23</v>
      </c>
      <c r="B2" s="23">
        <v>1975</v>
      </c>
      <c r="C2" s="24">
        <v>3811.6</v>
      </c>
      <c r="D2" s="25">
        <v>12108799.999999998</v>
      </c>
      <c r="E2" s="25">
        <v>56547200</v>
      </c>
      <c r="F2" s="34">
        <f>D2/E2</f>
        <v>0.2141361552826665</v>
      </c>
      <c r="G2" s="36">
        <f>D2/C2</f>
        <v>3176.8286283975231</v>
      </c>
      <c r="L2" s="26"/>
    </row>
    <row r="3" spans="1:12" x14ac:dyDescent="0.3">
      <c r="A3" s="19" t="s">
        <v>23</v>
      </c>
      <c r="B3" s="23">
        <v>1976</v>
      </c>
      <c r="C3" s="24">
        <v>3811.6</v>
      </c>
      <c r="D3" s="25">
        <v>12108799.999999998</v>
      </c>
      <c r="E3" s="25">
        <v>56547200</v>
      </c>
      <c r="F3" s="34">
        <f t="shared" ref="F3:F66" si="0">D3/E3</f>
        <v>0.2141361552826665</v>
      </c>
      <c r="G3" s="36">
        <f t="shared" ref="G3:G66" si="1">D3/C3</f>
        <v>3176.8286283975231</v>
      </c>
      <c r="L3" s="26"/>
    </row>
    <row r="4" spans="1:12" x14ac:dyDescent="0.3">
      <c r="A4" s="19" t="s">
        <v>23</v>
      </c>
      <c r="B4" s="23">
        <v>1977</v>
      </c>
      <c r="C4" s="24">
        <v>3811.6</v>
      </c>
      <c r="D4" s="25">
        <v>12108799.999999998</v>
      </c>
      <c r="E4" s="25">
        <v>56547200</v>
      </c>
      <c r="F4" s="34">
        <f t="shared" si="0"/>
        <v>0.2141361552826665</v>
      </c>
      <c r="G4" s="36">
        <f t="shared" si="1"/>
        <v>3176.8286283975231</v>
      </c>
      <c r="L4" s="26"/>
    </row>
    <row r="5" spans="1:12" x14ac:dyDescent="0.3">
      <c r="A5" s="19" t="s">
        <v>23</v>
      </c>
      <c r="B5" s="23">
        <v>1978</v>
      </c>
      <c r="C5" s="24">
        <v>3811.6</v>
      </c>
      <c r="D5" s="25">
        <v>12108799.999999998</v>
      </c>
      <c r="E5" s="25">
        <v>56547200</v>
      </c>
      <c r="F5" s="34">
        <f t="shared" si="0"/>
        <v>0.2141361552826665</v>
      </c>
      <c r="G5" s="36">
        <f t="shared" si="1"/>
        <v>3176.8286283975231</v>
      </c>
      <c r="L5" s="26"/>
    </row>
    <row r="6" spans="1:12" x14ac:dyDescent="0.3">
      <c r="A6" s="19" t="s">
        <v>23</v>
      </c>
      <c r="B6" s="23">
        <v>1979</v>
      </c>
      <c r="C6" s="24">
        <v>3811.6</v>
      </c>
      <c r="D6" s="25">
        <v>12108799.999999998</v>
      </c>
      <c r="E6" s="25">
        <v>56547200</v>
      </c>
      <c r="F6" s="34">
        <f t="shared" si="0"/>
        <v>0.2141361552826665</v>
      </c>
      <c r="G6" s="36">
        <f t="shared" si="1"/>
        <v>3176.8286283975231</v>
      </c>
      <c r="L6" s="26"/>
    </row>
    <row r="7" spans="1:12" x14ac:dyDescent="0.3">
      <c r="A7" s="19" t="s">
        <v>23</v>
      </c>
      <c r="B7" s="28">
        <v>1980</v>
      </c>
      <c r="C7" s="24">
        <v>11751</v>
      </c>
      <c r="D7" s="25">
        <v>36720000</v>
      </c>
      <c r="E7" s="25">
        <v>72703000</v>
      </c>
      <c r="F7" s="34">
        <f t="shared" si="0"/>
        <v>0.50506856663411415</v>
      </c>
      <c r="G7" s="36">
        <f t="shared" si="1"/>
        <v>3124.840439111565</v>
      </c>
      <c r="L7" s="26"/>
    </row>
    <row r="8" spans="1:12" x14ac:dyDescent="0.3">
      <c r="A8" s="19" t="s">
        <v>23</v>
      </c>
      <c r="B8" s="28">
        <v>1981</v>
      </c>
      <c r="C8" s="24">
        <v>12687</v>
      </c>
      <c r="D8" s="25">
        <v>41530000</v>
      </c>
      <c r="E8" s="25">
        <v>102127000</v>
      </c>
      <c r="F8" s="34">
        <f t="shared" si="0"/>
        <v>0.40665054295142322</v>
      </c>
      <c r="G8" s="36">
        <f t="shared" si="1"/>
        <v>3273.429494758414</v>
      </c>
      <c r="L8" s="26"/>
    </row>
    <row r="9" spans="1:12" x14ac:dyDescent="0.3">
      <c r="A9" s="19" t="s">
        <v>23</v>
      </c>
      <c r="B9" s="28">
        <v>1982</v>
      </c>
      <c r="C9" s="24">
        <v>13433</v>
      </c>
      <c r="D9" s="25">
        <v>55610000</v>
      </c>
      <c r="E9" s="25">
        <v>98940000</v>
      </c>
      <c r="F9" s="34">
        <f t="shared" si="0"/>
        <v>0.56205781281584799</v>
      </c>
      <c r="G9" s="36">
        <f t="shared" si="1"/>
        <v>4139.8049579394028</v>
      </c>
      <c r="L9" s="26"/>
    </row>
    <row r="10" spans="1:12" x14ac:dyDescent="0.3">
      <c r="A10" s="19" t="s">
        <v>23</v>
      </c>
      <c r="B10" s="28">
        <v>1983</v>
      </c>
      <c r="C10" s="24">
        <v>15813</v>
      </c>
      <c r="D10" s="25">
        <v>90350000</v>
      </c>
      <c r="E10" s="25">
        <v>124257000</v>
      </c>
      <c r="F10" s="34">
        <f t="shared" si="0"/>
        <v>0.72712201324673864</v>
      </c>
      <c r="G10" s="36">
        <f t="shared" si="1"/>
        <v>5713.6533232150759</v>
      </c>
      <c r="L10" s="26"/>
    </row>
    <row r="11" spans="1:12" x14ac:dyDescent="0.3">
      <c r="A11" s="19" t="s">
        <v>23</v>
      </c>
      <c r="B11" s="28">
        <v>1984</v>
      </c>
      <c r="C11" s="24">
        <v>20013</v>
      </c>
      <c r="D11" s="25">
        <v>124690000</v>
      </c>
      <c r="E11" s="25">
        <v>106737000</v>
      </c>
      <c r="F11" s="34">
        <f t="shared" si="0"/>
        <v>1.1681984691344145</v>
      </c>
      <c r="G11" s="36">
        <f t="shared" si="1"/>
        <v>6230.4502073652129</v>
      </c>
      <c r="L11" s="26"/>
    </row>
    <row r="12" spans="1:12" x14ac:dyDescent="0.3">
      <c r="A12" s="19" t="s">
        <v>23</v>
      </c>
      <c r="B12" s="28">
        <v>1985</v>
      </c>
      <c r="C12" s="24">
        <v>24711</v>
      </c>
      <c r="D12" s="25">
        <v>175680000</v>
      </c>
      <c r="E12" s="25">
        <v>130567000</v>
      </c>
      <c r="F12" s="34">
        <f t="shared" si="0"/>
        <v>1.3455160951848477</v>
      </c>
      <c r="G12" s="36">
        <f t="shared" si="1"/>
        <v>7109.3844846424672</v>
      </c>
      <c r="L12" s="26"/>
    </row>
    <row r="13" spans="1:12" x14ac:dyDescent="0.3">
      <c r="A13" s="19" t="s">
        <v>23</v>
      </c>
      <c r="B13" s="28">
        <v>1986</v>
      </c>
      <c r="C13" s="24">
        <v>12875</v>
      </c>
      <c r="D13" s="25">
        <v>199390000</v>
      </c>
      <c r="E13" s="25">
        <v>152623000</v>
      </c>
      <c r="F13" s="34">
        <f t="shared" si="0"/>
        <v>1.3064217057717382</v>
      </c>
      <c r="G13" s="36">
        <f t="shared" si="1"/>
        <v>15486.601941747573</v>
      </c>
      <c r="L13" s="26"/>
    </row>
    <row r="14" spans="1:12" x14ac:dyDescent="0.3">
      <c r="A14" s="19" t="s">
        <v>23</v>
      </c>
      <c r="B14" s="28">
        <v>1987</v>
      </c>
      <c r="C14" s="24">
        <v>35514</v>
      </c>
      <c r="D14" s="25">
        <v>214120000</v>
      </c>
      <c r="E14" s="25">
        <v>217890000</v>
      </c>
      <c r="F14" s="34">
        <f t="shared" si="0"/>
        <v>0.98269769149570885</v>
      </c>
      <c r="G14" s="36">
        <f t="shared" si="1"/>
        <v>6029.1715943008394</v>
      </c>
      <c r="L14" s="26"/>
    </row>
    <row r="15" spans="1:12" x14ac:dyDescent="0.3">
      <c r="A15" s="19" t="s">
        <v>23</v>
      </c>
      <c r="B15" s="28">
        <v>1988</v>
      </c>
      <c r="C15" s="24">
        <v>28282</v>
      </c>
      <c r="D15" s="25">
        <v>276890000</v>
      </c>
      <c r="E15" s="25">
        <v>192285000</v>
      </c>
      <c r="F15" s="34">
        <f t="shared" si="0"/>
        <v>1.439997919754531</v>
      </c>
      <c r="G15" s="36">
        <f t="shared" si="1"/>
        <v>9790.3260024043557</v>
      </c>
      <c r="L15" s="26"/>
    </row>
    <row r="16" spans="1:12" x14ac:dyDescent="0.3">
      <c r="A16" s="19" t="s">
        <v>23</v>
      </c>
      <c r="B16" s="28">
        <v>1989</v>
      </c>
      <c r="C16" s="24">
        <v>97405</v>
      </c>
      <c r="D16" s="25">
        <v>235780000</v>
      </c>
      <c r="E16" s="25">
        <v>214803000</v>
      </c>
      <c r="F16" s="34">
        <f t="shared" si="0"/>
        <v>1.0976569228548949</v>
      </c>
      <c r="G16" s="36">
        <f t="shared" si="1"/>
        <v>2420.6149581643654</v>
      </c>
      <c r="L16" s="26"/>
    </row>
    <row r="17" spans="1:12" x14ac:dyDescent="0.3">
      <c r="A17" s="19" t="s">
        <v>23</v>
      </c>
      <c r="B17" s="28">
        <v>1990</v>
      </c>
      <c r="C17" s="24">
        <v>49380</v>
      </c>
      <c r="D17" s="25">
        <v>330220000</v>
      </c>
      <c r="E17" s="25">
        <v>394272000</v>
      </c>
      <c r="F17" s="34">
        <f t="shared" si="0"/>
        <v>0.83754362470578692</v>
      </c>
      <c r="G17" s="36">
        <f t="shared" si="1"/>
        <v>6687.3228027541518</v>
      </c>
      <c r="L17" s="26"/>
    </row>
    <row r="18" spans="1:12" x14ac:dyDescent="0.3">
      <c r="A18" s="19" t="s">
        <v>23</v>
      </c>
      <c r="B18" s="28">
        <v>1991</v>
      </c>
      <c r="C18" s="24">
        <v>55877</v>
      </c>
      <c r="D18" s="25">
        <v>365960000</v>
      </c>
      <c r="E18" s="25">
        <v>347375000</v>
      </c>
      <c r="F18" s="34">
        <f t="shared" si="0"/>
        <v>1.0535012594458437</v>
      </c>
      <c r="G18" s="36">
        <f t="shared" si="1"/>
        <v>6549.3852569035562</v>
      </c>
      <c r="L18" s="26"/>
    </row>
    <row r="19" spans="1:12" x14ac:dyDescent="0.3">
      <c r="A19" s="19" t="s">
        <v>23</v>
      </c>
      <c r="B19" s="28">
        <v>1992</v>
      </c>
      <c r="C19" s="24">
        <v>57937</v>
      </c>
      <c r="D19" s="25">
        <v>414660000</v>
      </c>
      <c r="E19" s="25">
        <v>356395000</v>
      </c>
      <c r="F19" s="34">
        <f t="shared" si="0"/>
        <v>1.1634843362000029</v>
      </c>
      <c r="G19" s="36">
        <f t="shared" si="1"/>
        <v>7157.0844192830145</v>
      </c>
      <c r="L19" s="26"/>
    </row>
    <row r="20" spans="1:12" x14ac:dyDescent="0.3">
      <c r="A20" s="19" t="s">
        <v>23</v>
      </c>
      <c r="B20" s="28">
        <v>1993</v>
      </c>
      <c r="C20" s="24">
        <v>64154</v>
      </c>
      <c r="D20" s="25">
        <v>472720000</v>
      </c>
      <c r="E20" s="25">
        <v>471686000</v>
      </c>
      <c r="F20" s="34">
        <f t="shared" si="0"/>
        <v>1.00219213629406</v>
      </c>
      <c r="G20" s="36">
        <f t="shared" si="1"/>
        <v>7368.5194999532378</v>
      </c>
      <c r="L20" s="26"/>
    </row>
    <row r="21" spans="1:12" x14ac:dyDescent="0.3">
      <c r="A21" s="19" t="s">
        <v>23</v>
      </c>
      <c r="B21" s="28">
        <v>1994</v>
      </c>
      <c r="C21" s="24">
        <v>59403</v>
      </c>
      <c r="D21" s="25">
        <v>526360000</v>
      </c>
      <c r="E21" s="25">
        <v>538858000</v>
      </c>
      <c r="F21" s="34">
        <f t="shared" si="0"/>
        <v>0.97680650561001225</v>
      </c>
      <c r="G21" s="36">
        <f t="shared" si="1"/>
        <v>8860.8319445145862</v>
      </c>
      <c r="L21" s="26"/>
    </row>
    <row r="22" spans="1:12" x14ac:dyDescent="0.3">
      <c r="A22" s="19" t="s">
        <v>23</v>
      </c>
      <c r="B22" s="28">
        <v>1995</v>
      </c>
      <c r="C22" s="24">
        <v>70153</v>
      </c>
      <c r="D22" s="25">
        <v>567890000</v>
      </c>
      <c r="E22" s="25">
        <v>525224000.00000006</v>
      </c>
      <c r="F22" s="34">
        <f t="shared" si="0"/>
        <v>1.0812339116262775</v>
      </c>
      <c r="G22" s="36">
        <f t="shared" si="1"/>
        <v>8095.0208829273161</v>
      </c>
      <c r="L22" s="26"/>
    </row>
    <row r="23" spans="1:12" x14ac:dyDescent="0.3">
      <c r="A23" s="19" t="s">
        <v>23</v>
      </c>
      <c r="B23" s="28">
        <v>1996</v>
      </c>
      <c r="C23" s="24">
        <v>79106</v>
      </c>
      <c r="D23" s="25">
        <v>616310000</v>
      </c>
      <c r="E23" s="25">
        <v>547600000</v>
      </c>
      <c r="F23" s="34">
        <f t="shared" si="0"/>
        <v>1.1254747991234477</v>
      </c>
      <c r="G23" s="36">
        <f t="shared" si="1"/>
        <v>7790.9387404242407</v>
      </c>
      <c r="L23" s="26"/>
    </row>
    <row r="24" spans="1:12" x14ac:dyDescent="0.3">
      <c r="A24" s="19" t="s">
        <v>23</v>
      </c>
      <c r="B24" s="28">
        <v>1997</v>
      </c>
      <c r="C24" s="24">
        <v>83607</v>
      </c>
      <c r="D24" s="25">
        <v>672050000</v>
      </c>
      <c r="E24" s="25">
        <v>490668000</v>
      </c>
      <c r="F24" s="34">
        <f t="shared" si="0"/>
        <v>1.3696633976538106</v>
      </c>
      <c r="G24" s="36">
        <f t="shared" si="1"/>
        <v>8038.2025428492825</v>
      </c>
      <c r="L24" s="26"/>
    </row>
    <row r="25" spans="1:12" x14ac:dyDescent="0.3">
      <c r="A25" s="19" t="s">
        <v>23</v>
      </c>
      <c r="B25" s="28">
        <v>1998</v>
      </c>
      <c r="C25" s="24">
        <v>82256</v>
      </c>
      <c r="D25" s="25">
        <v>669410000</v>
      </c>
      <c r="E25" s="25">
        <v>525328000</v>
      </c>
      <c r="F25" s="34">
        <f t="shared" si="0"/>
        <v>1.2742705509700607</v>
      </c>
      <c r="G25" s="36">
        <f t="shared" si="1"/>
        <v>8138.1297412954682</v>
      </c>
      <c r="L25" s="26"/>
    </row>
    <row r="26" spans="1:12" x14ac:dyDescent="0.3">
      <c r="A26" s="19" t="s">
        <v>23</v>
      </c>
      <c r="B26" s="28">
        <v>1999</v>
      </c>
      <c r="C26" s="24">
        <v>66409</v>
      </c>
      <c r="D26" s="25">
        <v>748250000</v>
      </c>
      <c r="E26" s="25">
        <v>490625000</v>
      </c>
      <c r="F26" s="34">
        <f t="shared" si="0"/>
        <v>1.5250955414012739</v>
      </c>
      <c r="G26" s="36">
        <f t="shared" si="1"/>
        <v>11267.298107184268</v>
      </c>
      <c r="L26" s="26"/>
    </row>
    <row r="27" spans="1:12" x14ac:dyDescent="0.3">
      <c r="A27" s="19" t="s">
        <v>23</v>
      </c>
      <c r="B27" s="28">
        <v>2000</v>
      </c>
      <c r="C27" s="24">
        <v>65034</v>
      </c>
      <c r="D27" s="25">
        <v>728780000</v>
      </c>
      <c r="E27" s="25">
        <v>571418000</v>
      </c>
      <c r="F27" s="34">
        <f t="shared" si="0"/>
        <v>1.2753885946890018</v>
      </c>
      <c r="G27" s="36">
        <f t="shared" si="1"/>
        <v>11206.138327644001</v>
      </c>
      <c r="L27" s="26"/>
    </row>
    <row r="28" spans="1:12" x14ac:dyDescent="0.3">
      <c r="A28" s="19" t="s">
        <v>23</v>
      </c>
      <c r="B28" s="28">
        <v>2001</v>
      </c>
      <c r="C28" s="24">
        <v>62615</v>
      </c>
      <c r="D28" s="25">
        <v>768420000</v>
      </c>
      <c r="E28" s="25">
        <v>631530000</v>
      </c>
      <c r="F28" s="34">
        <f t="shared" si="0"/>
        <v>1.2167592988456606</v>
      </c>
      <c r="G28" s="36">
        <f t="shared" si="1"/>
        <v>12272.139263754691</v>
      </c>
      <c r="L28" s="26"/>
    </row>
    <row r="29" spans="1:12" x14ac:dyDescent="0.3">
      <c r="A29" s="19" t="s">
        <v>23</v>
      </c>
      <c r="B29" s="28">
        <v>2002</v>
      </c>
      <c r="C29" s="24">
        <v>61478</v>
      </c>
      <c r="D29" s="25">
        <v>762840000</v>
      </c>
      <c r="E29" s="25">
        <v>562136000</v>
      </c>
      <c r="F29" s="34">
        <f t="shared" si="0"/>
        <v>1.3570381544679579</v>
      </c>
      <c r="G29" s="36">
        <f t="shared" si="1"/>
        <v>12408.341195224308</v>
      </c>
      <c r="L29" s="26"/>
    </row>
    <row r="30" spans="1:12" x14ac:dyDescent="0.3">
      <c r="A30" s="19" t="s">
        <v>23</v>
      </c>
      <c r="B30" s="28">
        <v>2003</v>
      </c>
      <c r="C30" s="24">
        <v>2580</v>
      </c>
      <c r="D30" s="25">
        <v>532448999.99999994</v>
      </c>
      <c r="E30" s="25">
        <v>1030830999.9999999</v>
      </c>
      <c r="F30" s="34">
        <f t="shared" si="0"/>
        <v>0.51652404710374444</v>
      </c>
      <c r="G30" s="36">
        <f t="shared" si="1"/>
        <v>206375.58139534883</v>
      </c>
      <c r="L30" s="26"/>
    </row>
    <row r="31" spans="1:12" x14ac:dyDescent="0.3">
      <c r="A31" s="19" t="s">
        <v>23</v>
      </c>
      <c r="B31" s="28">
        <v>2004</v>
      </c>
      <c r="C31" s="24">
        <v>4588</v>
      </c>
      <c r="D31" s="25">
        <v>556054000</v>
      </c>
      <c r="E31" s="25">
        <v>1228163000</v>
      </c>
      <c r="F31" s="34">
        <f t="shared" si="0"/>
        <v>0.45275260694223812</v>
      </c>
      <c r="G31" s="36">
        <f t="shared" si="1"/>
        <v>121197.4716652136</v>
      </c>
      <c r="L31" s="26"/>
    </row>
    <row r="32" spans="1:12" x14ac:dyDescent="0.3">
      <c r="A32" s="19" t="s">
        <v>23</v>
      </c>
      <c r="B32" s="28">
        <v>2005</v>
      </c>
      <c r="C32" s="24">
        <v>3154</v>
      </c>
      <c r="D32" s="25">
        <v>559650000</v>
      </c>
      <c r="E32" s="25">
        <v>1292489000</v>
      </c>
      <c r="F32" s="34">
        <f t="shared" si="0"/>
        <v>0.43300175088530735</v>
      </c>
      <c r="G32" s="36">
        <f t="shared" si="1"/>
        <v>177441.34432466709</v>
      </c>
      <c r="L32" s="26"/>
    </row>
    <row r="33" spans="1:12" x14ac:dyDescent="0.3">
      <c r="A33" s="19" t="s">
        <v>23</v>
      </c>
      <c r="B33" s="28">
        <v>2006</v>
      </c>
      <c r="C33" s="24">
        <v>91394</v>
      </c>
      <c r="D33" s="25">
        <v>174160000</v>
      </c>
      <c r="E33" s="25">
        <v>904030000</v>
      </c>
      <c r="F33" s="34">
        <f t="shared" si="0"/>
        <v>0.19264847405506455</v>
      </c>
      <c r="G33" s="36">
        <f t="shared" si="1"/>
        <v>1905.5955533185986</v>
      </c>
      <c r="L33" s="26"/>
    </row>
    <row r="34" spans="1:12" x14ac:dyDescent="0.3">
      <c r="A34" s="19" t="s">
        <v>23</v>
      </c>
      <c r="B34" s="28">
        <v>2007</v>
      </c>
      <c r="C34" s="24">
        <v>19227</v>
      </c>
      <c r="D34" s="25">
        <v>69100000</v>
      </c>
      <c r="E34" s="25">
        <v>2169200000</v>
      </c>
      <c r="F34" s="34">
        <f t="shared" si="0"/>
        <v>3.1855061773925872E-2</v>
      </c>
      <c r="G34" s="36">
        <f t="shared" si="1"/>
        <v>3593.9044052634317</v>
      </c>
      <c r="L34" s="29"/>
    </row>
    <row r="35" spans="1:12" x14ac:dyDescent="0.3">
      <c r="A35" s="19" t="s">
        <v>23</v>
      </c>
      <c r="B35" s="28">
        <v>2008</v>
      </c>
      <c r="C35" s="24">
        <v>18929</v>
      </c>
      <c r="D35" s="25">
        <v>46570000</v>
      </c>
      <c r="E35" s="25">
        <v>1831500000</v>
      </c>
      <c r="F35" s="34">
        <f t="shared" si="0"/>
        <v>2.5427245427245428E-2</v>
      </c>
      <c r="G35" s="36">
        <f t="shared" si="1"/>
        <v>2460.2461831052883</v>
      </c>
      <c r="L35" s="29"/>
    </row>
    <row r="36" spans="1:12" x14ac:dyDescent="0.3">
      <c r="A36" s="19" t="s">
        <v>23</v>
      </c>
      <c r="B36" s="28">
        <v>2009</v>
      </c>
      <c r="C36" s="24">
        <v>18311</v>
      </c>
      <c r="D36" s="25">
        <v>64649000</v>
      </c>
      <c r="E36" s="25">
        <v>1775492000</v>
      </c>
      <c r="F36" s="34">
        <f t="shared" si="0"/>
        <v>3.6411879073518776E-2</v>
      </c>
      <c r="G36" s="36">
        <f t="shared" si="1"/>
        <v>3530.6100158374747</v>
      </c>
      <c r="L36" s="29"/>
    </row>
    <row r="37" spans="1:12" x14ac:dyDescent="0.3">
      <c r="A37" s="19" t="s">
        <v>23</v>
      </c>
      <c r="B37" s="28">
        <v>2010</v>
      </c>
      <c r="C37" s="24">
        <v>4946</v>
      </c>
      <c r="D37" s="25">
        <v>30692000</v>
      </c>
      <c r="E37" s="25">
        <v>1951876000</v>
      </c>
      <c r="F37" s="34">
        <f t="shared" si="0"/>
        <v>1.5724359539233027E-2</v>
      </c>
      <c r="G37" s="36">
        <f t="shared" si="1"/>
        <v>6205.4185200161746</v>
      </c>
      <c r="L37" s="29"/>
    </row>
    <row r="38" spans="1:12" x14ac:dyDescent="0.3">
      <c r="A38" s="19" t="s">
        <v>23</v>
      </c>
      <c r="B38" s="28">
        <v>2011</v>
      </c>
      <c r="C38" s="24">
        <v>7925</v>
      </c>
      <c r="D38" s="25">
        <v>67812000</v>
      </c>
      <c r="E38" s="25">
        <v>1969640000</v>
      </c>
      <c r="F38" s="34">
        <f t="shared" si="0"/>
        <v>3.4428626551044859E-2</v>
      </c>
      <c r="G38" s="36">
        <f t="shared" si="1"/>
        <v>8556.7192429022089</v>
      </c>
      <c r="L38" s="29"/>
    </row>
    <row r="39" spans="1:12" x14ac:dyDescent="0.3">
      <c r="A39" s="19" t="s">
        <v>23</v>
      </c>
      <c r="B39" s="28">
        <v>2012</v>
      </c>
      <c r="C39" s="24">
        <v>5603</v>
      </c>
      <c r="D39" s="25">
        <v>38246000</v>
      </c>
      <c r="E39" s="25">
        <v>2020972000</v>
      </c>
      <c r="F39" s="34">
        <f t="shared" si="0"/>
        <v>1.8924557094309076E-2</v>
      </c>
      <c r="G39" s="36">
        <f t="shared" si="1"/>
        <v>6825.9860788863107</v>
      </c>
      <c r="L39" s="29"/>
    </row>
    <row r="40" spans="1:12" x14ac:dyDescent="0.3">
      <c r="A40" s="19" t="s">
        <v>23</v>
      </c>
      <c r="B40" s="28">
        <v>2013</v>
      </c>
      <c r="C40" s="24">
        <v>7165</v>
      </c>
      <c r="D40" s="25">
        <v>57199000</v>
      </c>
      <c r="E40" s="25">
        <v>2243644000</v>
      </c>
      <c r="F40" s="34">
        <f t="shared" si="0"/>
        <v>2.5493794915770952E-2</v>
      </c>
      <c r="G40" s="36">
        <f t="shared" si="1"/>
        <v>7983.1123517097003</v>
      </c>
      <c r="L40" s="29"/>
    </row>
    <row r="41" spans="1:12" x14ac:dyDescent="0.3">
      <c r="A41" s="19" t="s">
        <v>23</v>
      </c>
      <c r="B41" s="28">
        <v>2014</v>
      </c>
      <c r="C41" s="24">
        <v>16170</v>
      </c>
      <c r="D41" s="25">
        <v>160220000</v>
      </c>
      <c r="E41" s="25">
        <v>2060610000.0000002</v>
      </c>
      <c r="F41" s="34">
        <f t="shared" si="0"/>
        <v>7.7753674882680368E-2</v>
      </c>
      <c r="G41" s="36">
        <f t="shared" si="1"/>
        <v>9908.472479901051</v>
      </c>
      <c r="L41" s="29"/>
    </row>
    <row r="42" spans="1:12" x14ac:dyDescent="0.3">
      <c r="A42" s="19" t="s">
        <v>23</v>
      </c>
      <c r="B42" s="28">
        <v>2015</v>
      </c>
      <c r="C42" s="24">
        <v>31029</v>
      </c>
      <c r="D42" s="25">
        <v>177290000</v>
      </c>
      <c r="E42" s="25">
        <v>1924671000</v>
      </c>
      <c r="F42" s="34">
        <f t="shared" si="0"/>
        <v>9.2114444494669476E-2</v>
      </c>
      <c r="G42" s="36">
        <f t="shared" si="1"/>
        <v>5713.6871958490447</v>
      </c>
      <c r="L42" s="29"/>
    </row>
    <row r="43" spans="1:12" x14ac:dyDescent="0.3">
      <c r="A43" s="19" t="s">
        <v>23</v>
      </c>
      <c r="B43" s="28">
        <v>2016</v>
      </c>
      <c r="C43" s="24">
        <v>40404</v>
      </c>
      <c r="D43" s="25">
        <v>223278000</v>
      </c>
      <c r="E43" s="25">
        <v>2901184000</v>
      </c>
      <c r="F43" s="34">
        <f t="shared" si="0"/>
        <v>7.6960992477553988E-2</v>
      </c>
      <c r="G43" s="36">
        <f t="shared" si="1"/>
        <v>5526.136026136026</v>
      </c>
      <c r="L43" s="29"/>
    </row>
    <row r="44" spans="1:12" x14ac:dyDescent="0.3">
      <c r="A44" s="19" t="s">
        <v>23</v>
      </c>
      <c r="B44" s="28">
        <v>2017</v>
      </c>
      <c r="C44" s="24">
        <v>40988</v>
      </c>
      <c r="D44" s="25">
        <v>220846000</v>
      </c>
      <c r="E44" s="25">
        <v>2632085000</v>
      </c>
      <c r="F44" s="34">
        <f t="shared" si="0"/>
        <v>8.3905345002156087E-2</v>
      </c>
      <c r="G44" s="36">
        <f t="shared" si="1"/>
        <v>5388.0647994534984</v>
      </c>
      <c r="L44" s="29"/>
    </row>
    <row r="45" spans="1:12" x14ac:dyDescent="0.3">
      <c r="A45" s="19" t="s">
        <v>23</v>
      </c>
      <c r="B45" s="28">
        <v>2018</v>
      </c>
      <c r="C45" s="24">
        <v>41948</v>
      </c>
      <c r="D45" s="25">
        <v>434965000</v>
      </c>
      <c r="E45" s="25">
        <v>2592801000</v>
      </c>
      <c r="F45" s="34">
        <f t="shared" si="0"/>
        <v>0.16775872888046556</v>
      </c>
      <c r="G45" s="36">
        <f t="shared" si="1"/>
        <v>10369.147515972156</v>
      </c>
      <c r="L45" s="29"/>
    </row>
    <row r="46" spans="1:12" x14ac:dyDescent="0.3">
      <c r="A46" s="19" t="s">
        <v>23</v>
      </c>
      <c r="B46" s="28">
        <v>2019</v>
      </c>
      <c r="C46" s="24">
        <v>47308</v>
      </c>
      <c r="D46" s="25">
        <v>529826000</v>
      </c>
      <c r="E46" s="25">
        <v>2752537000</v>
      </c>
      <c r="F46" s="34">
        <f t="shared" si="0"/>
        <v>0.19248642252583709</v>
      </c>
      <c r="G46" s="36">
        <f t="shared" si="1"/>
        <v>11199.50114145599</v>
      </c>
      <c r="L46" s="29"/>
    </row>
    <row r="47" spans="1:12" x14ac:dyDescent="0.3">
      <c r="A47" s="19" t="s">
        <v>23</v>
      </c>
      <c r="B47" s="28">
        <v>2020</v>
      </c>
      <c r="C47" s="24">
        <v>27582</v>
      </c>
      <c r="D47" s="25">
        <v>196105000</v>
      </c>
      <c r="E47" s="25">
        <v>2684831000</v>
      </c>
      <c r="F47" s="34">
        <f t="shared" si="0"/>
        <v>7.3041841367296495E-2</v>
      </c>
      <c r="G47" s="36">
        <f t="shared" si="1"/>
        <v>7109.8905083025165</v>
      </c>
      <c r="L47" s="29"/>
    </row>
    <row r="48" spans="1:12" x14ac:dyDescent="0.3">
      <c r="A48" s="19" t="s">
        <v>23</v>
      </c>
      <c r="B48" s="28">
        <v>2021</v>
      </c>
      <c r="C48" s="24">
        <v>86788</v>
      </c>
      <c r="D48" s="25">
        <v>477177000</v>
      </c>
      <c r="E48" s="25">
        <v>2814230000</v>
      </c>
      <c r="F48" s="34">
        <f t="shared" si="0"/>
        <v>0.16955863593238649</v>
      </c>
      <c r="G48" s="36">
        <f t="shared" si="1"/>
        <v>5498.1909941466565</v>
      </c>
      <c r="L48" s="29"/>
    </row>
    <row r="49" spans="1:12" x14ac:dyDescent="0.3">
      <c r="A49" s="19" t="s">
        <v>23</v>
      </c>
      <c r="B49" s="28">
        <v>2022</v>
      </c>
      <c r="C49" s="24">
        <v>82726</v>
      </c>
      <c r="D49" s="25">
        <v>413350000</v>
      </c>
      <c r="E49" s="25">
        <v>2773103000</v>
      </c>
      <c r="F49" s="34">
        <f t="shared" si="0"/>
        <v>0.14905685075527306</v>
      </c>
      <c r="G49" s="36">
        <f t="shared" si="1"/>
        <v>4996.615332543578</v>
      </c>
      <c r="L49" s="29"/>
    </row>
    <row r="50" spans="1:12" x14ac:dyDescent="0.3">
      <c r="A50" s="19" t="s">
        <v>26</v>
      </c>
      <c r="B50" s="23">
        <v>1975</v>
      </c>
      <c r="C50" s="27">
        <v>60405.2</v>
      </c>
      <c r="D50" s="25">
        <v>14200000</v>
      </c>
      <c r="E50" s="25">
        <v>95400000</v>
      </c>
      <c r="F50" s="34">
        <f t="shared" si="0"/>
        <v>0.1488469601677149</v>
      </c>
      <c r="G50" s="36">
        <f t="shared" si="1"/>
        <v>235.07909915040429</v>
      </c>
    </row>
    <row r="51" spans="1:12" x14ac:dyDescent="0.3">
      <c r="A51" s="19" t="s">
        <v>26</v>
      </c>
      <c r="B51" s="23">
        <v>1976</v>
      </c>
      <c r="C51" s="27">
        <v>60405.2</v>
      </c>
      <c r="D51" s="25">
        <v>14200000</v>
      </c>
      <c r="E51" s="25">
        <v>95400000</v>
      </c>
      <c r="F51" s="34">
        <f t="shared" si="0"/>
        <v>0.1488469601677149</v>
      </c>
      <c r="G51" s="36">
        <f t="shared" si="1"/>
        <v>235.07909915040429</v>
      </c>
    </row>
    <row r="52" spans="1:12" x14ac:dyDescent="0.3">
      <c r="A52" s="19" t="s">
        <v>26</v>
      </c>
      <c r="B52" s="23">
        <v>1977</v>
      </c>
      <c r="C52" s="27">
        <v>60405.2</v>
      </c>
      <c r="D52" s="25">
        <v>14200000</v>
      </c>
      <c r="E52" s="25">
        <v>95400000</v>
      </c>
      <c r="F52" s="34">
        <f t="shared" si="0"/>
        <v>0.1488469601677149</v>
      </c>
      <c r="G52" s="36">
        <f t="shared" si="1"/>
        <v>235.07909915040429</v>
      </c>
    </row>
    <row r="53" spans="1:12" x14ac:dyDescent="0.3">
      <c r="A53" s="19" t="s">
        <v>26</v>
      </c>
      <c r="B53" s="23">
        <v>1978</v>
      </c>
      <c r="C53" s="27">
        <v>60405.2</v>
      </c>
      <c r="D53" s="25">
        <v>14200000</v>
      </c>
      <c r="E53" s="25">
        <v>95400000</v>
      </c>
      <c r="F53" s="34">
        <f t="shared" si="0"/>
        <v>0.1488469601677149</v>
      </c>
      <c r="G53" s="36">
        <f t="shared" si="1"/>
        <v>235.07909915040429</v>
      </c>
    </row>
    <row r="54" spans="1:12" x14ac:dyDescent="0.3">
      <c r="A54" s="19" t="s">
        <v>26</v>
      </c>
      <c r="B54" s="23">
        <v>1979</v>
      </c>
      <c r="C54" s="27">
        <v>60405.2</v>
      </c>
      <c r="D54" s="25">
        <v>14200000</v>
      </c>
      <c r="E54" s="25">
        <v>95400000</v>
      </c>
      <c r="F54" s="34">
        <f t="shared" si="0"/>
        <v>0.1488469601677149</v>
      </c>
      <c r="G54" s="36">
        <f t="shared" si="1"/>
        <v>235.07909915040429</v>
      </c>
    </row>
    <row r="55" spans="1:12" x14ac:dyDescent="0.3">
      <c r="A55" s="19" t="s">
        <v>26</v>
      </c>
      <c r="B55" s="28">
        <v>1980</v>
      </c>
      <c r="C55" s="27">
        <v>71180</v>
      </c>
      <c r="D55" s="25">
        <v>29300000</v>
      </c>
      <c r="E55" s="25">
        <v>140600000</v>
      </c>
      <c r="F55" s="34">
        <f t="shared" si="0"/>
        <v>0.20839260312944524</v>
      </c>
      <c r="G55" s="36">
        <f t="shared" si="1"/>
        <v>411.63248103399832</v>
      </c>
    </row>
    <row r="56" spans="1:12" x14ac:dyDescent="0.3">
      <c r="A56" s="19" t="s">
        <v>26</v>
      </c>
      <c r="B56" s="28">
        <v>1981</v>
      </c>
      <c r="C56" s="27">
        <v>83751</v>
      </c>
      <c r="D56" s="25">
        <v>36200000</v>
      </c>
      <c r="E56" s="25">
        <v>152600000</v>
      </c>
      <c r="F56" s="34">
        <f t="shared" si="0"/>
        <v>0.23722149410222804</v>
      </c>
      <c r="G56" s="36">
        <f t="shared" si="1"/>
        <v>432.23364497140335</v>
      </c>
    </row>
    <row r="57" spans="1:12" x14ac:dyDescent="0.3">
      <c r="A57" s="19" t="s">
        <v>26</v>
      </c>
      <c r="B57" s="28">
        <v>1982</v>
      </c>
      <c r="C57" s="27">
        <v>94023</v>
      </c>
      <c r="D57" s="25">
        <v>39300000</v>
      </c>
      <c r="E57" s="25">
        <v>163500000</v>
      </c>
      <c r="F57" s="34">
        <f t="shared" si="0"/>
        <v>0.24036697247706423</v>
      </c>
      <c r="G57" s="36">
        <f t="shared" si="1"/>
        <v>417.98283398742859</v>
      </c>
    </row>
    <row r="58" spans="1:12" x14ac:dyDescent="0.3">
      <c r="A58" s="19" t="s">
        <v>26</v>
      </c>
      <c r="B58" s="28">
        <v>1983</v>
      </c>
      <c r="C58" s="27">
        <v>86456</v>
      </c>
      <c r="D58" s="25">
        <v>49400000</v>
      </c>
      <c r="E58" s="25">
        <v>173400000</v>
      </c>
      <c r="F58" s="34">
        <f t="shared" si="0"/>
        <v>0.28489042675893889</v>
      </c>
      <c r="G58" s="36">
        <f t="shared" si="1"/>
        <v>571.3889145923938</v>
      </c>
    </row>
    <row r="59" spans="1:12" x14ac:dyDescent="0.3">
      <c r="A59" s="19" t="s">
        <v>26</v>
      </c>
      <c r="B59" s="28">
        <v>1984</v>
      </c>
      <c r="C59" s="27">
        <v>72208</v>
      </c>
      <c r="D59" s="25">
        <v>59000000</v>
      </c>
      <c r="E59" s="25">
        <v>186900000</v>
      </c>
      <c r="F59" s="34">
        <f t="shared" si="0"/>
        <v>0.31567683253076512</v>
      </c>
      <c r="G59" s="36">
        <f t="shared" si="1"/>
        <v>817.08397961444712</v>
      </c>
    </row>
    <row r="60" spans="1:12" x14ac:dyDescent="0.3">
      <c r="A60" s="19" t="s">
        <v>26</v>
      </c>
      <c r="B60" s="28">
        <v>1985</v>
      </c>
      <c r="C60" s="27">
        <v>52015</v>
      </c>
      <c r="D60" s="25">
        <v>67600000</v>
      </c>
      <c r="E60" s="25">
        <v>195800000</v>
      </c>
      <c r="F60" s="34">
        <f t="shared" si="0"/>
        <v>0.34525025536261489</v>
      </c>
      <c r="G60" s="36">
        <f t="shared" si="1"/>
        <v>1299.625108141882</v>
      </c>
    </row>
    <row r="61" spans="1:12" x14ac:dyDescent="0.3">
      <c r="A61" s="19" t="s">
        <v>26</v>
      </c>
      <c r="B61" s="28">
        <v>1986</v>
      </c>
      <c r="C61" s="27">
        <v>45446</v>
      </c>
      <c r="D61" s="25">
        <v>80400000</v>
      </c>
      <c r="E61" s="25">
        <v>198100000</v>
      </c>
      <c r="F61" s="34">
        <f t="shared" si="0"/>
        <v>0.40585562847046946</v>
      </c>
      <c r="G61" s="36">
        <f t="shared" si="1"/>
        <v>1769.1325969282225</v>
      </c>
    </row>
    <row r="62" spans="1:12" x14ac:dyDescent="0.3">
      <c r="A62" s="19" t="s">
        <v>26</v>
      </c>
      <c r="B62" s="28">
        <v>1987</v>
      </c>
      <c r="C62" s="27">
        <v>44559</v>
      </c>
      <c r="D62" s="25">
        <v>88700000</v>
      </c>
      <c r="E62" s="25">
        <v>256600000.00000003</v>
      </c>
      <c r="F62" s="34">
        <f t="shared" si="0"/>
        <v>0.34567420109119246</v>
      </c>
      <c r="G62" s="36">
        <f t="shared" si="1"/>
        <v>1990.6191790659575</v>
      </c>
    </row>
    <row r="63" spans="1:12" x14ac:dyDescent="0.3">
      <c r="A63" s="19" t="s">
        <v>26</v>
      </c>
      <c r="B63" s="28">
        <v>1988</v>
      </c>
      <c r="C63" s="27">
        <v>61463</v>
      </c>
      <c r="D63" s="25">
        <v>128900000</v>
      </c>
      <c r="E63" s="25">
        <v>268399999.99999997</v>
      </c>
      <c r="F63" s="34">
        <f t="shared" si="0"/>
        <v>0.48025335320417295</v>
      </c>
      <c r="G63" s="36">
        <f t="shared" si="1"/>
        <v>2097.1966874379709</v>
      </c>
    </row>
    <row r="64" spans="1:12" x14ac:dyDescent="0.3">
      <c r="A64" s="19" t="s">
        <v>26</v>
      </c>
      <c r="B64" s="28">
        <v>1989</v>
      </c>
      <c r="C64" s="27">
        <v>54610</v>
      </c>
      <c r="D64" s="25">
        <v>153500000</v>
      </c>
      <c r="E64" s="25">
        <v>297700000</v>
      </c>
      <c r="F64" s="34">
        <f t="shared" si="0"/>
        <v>0.51561975142761174</v>
      </c>
      <c r="G64" s="36">
        <f t="shared" si="1"/>
        <v>2810.8405054019408</v>
      </c>
    </row>
    <row r="65" spans="1:7" x14ac:dyDescent="0.3">
      <c r="A65" s="19" t="s">
        <v>26</v>
      </c>
      <c r="B65" s="28">
        <v>1990</v>
      </c>
      <c r="C65" s="27">
        <v>57310</v>
      </c>
      <c r="D65" s="25">
        <v>189900000</v>
      </c>
      <c r="E65" s="25">
        <v>314000000</v>
      </c>
      <c r="F65" s="34">
        <f t="shared" si="0"/>
        <v>0.6047770700636943</v>
      </c>
      <c r="G65" s="36">
        <f t="shared" si="1"/>
        <v>3313.5578433083233</v>
      </c>
    </row>
    <row r="66" spans="1:7" x14ac:dyDescent="0.3">
      <c r="A66" s="19" t="s">
        <v>26</v>
      </c>
      <c r="B66" s="28">
        <v>1991</v>
      </c>
      <c r="C66" s="27">
        <v>57915</v>
      </c>
      <c r="D66" s="25">
        <v>215900000</v>
      </c>
      <c r="E66" s="25">
        <v>329100000</v>
      </c>
      <c r="F66" s="34">
        <f t="shared" si="0"/>
        <v>0.65603160133697969</v>
      </c>
      <c r="G66" s="36">
        <f t="shared" si="1"/>
        <v>3727.8770612103945</v>
      </c>
    </row>
    <row r="67" spans="1:7" x14ac:dyDescent="0.3">
      <c r="A67" s="19" t="s">
        <v>26</v>
      </c>
      <c r="B67" s="28">
        <v>1992</v>
      </c>
      <c r="C67" s="27">
        <v>62131</v>
      </c>
      <c r="D67" s="25">
        <v>287100000</v>
      </c>
      <c r="E67" s="25">
        <v>375700000</v>
      </c>
      <c r="F67" s="34">
        <f t="shared" ref="F67:F97" si="2">D67/E67</f>
        <v>0.76417354272025551</v>
      </c>
      <c r="G67" s="36">
        <f t="shared" ref="G67:G97" si="3">D67/C67</f>
        <v>4620.8816854710212</v>
      </c>
    </row>
    <row r="68" spans="1:7" x14ac:dyDescent="0.3">
      <c r="A68" s="19" t="s">
        <v>26</v>
      </c>
      <c r="B68" s="28">
        <v>1993</v>
      </c>
      <c r="C68" s="27">
        <v>68176</v>
      </c>
      <c r="D68" s="25">
        <v>375800000</v>
      </c>
      <c r="E68" s="25">
        <v>448700000</v>
      </c>
      <c r="F68" s="34">
        <f t="shared" si="2"/>
        <v>0.83753064408290623</v>
      </c>
      <c r="G68" s="36">
        <f t="shared" si="3"/>
        <v>5512.2037080497539</v>
      </c>
    </row>
    <row r="69" spans="1:7" x14ac:dyDescent="0.3">
      <c r="A69" s="19" t="s">
        <v>26</v>
      </c>
      <c r="B69" s="28">
        <v>1994</v>
      </c>
      <c r="C69" s="27">
        <v>88350</v>
      </c>
      <c r="D69" s="25">
        <v>595800000</v>
      </c>
      <c r="E69" s="25">
        <v>542700000</v>
      </c>
      <c r="F69" s="34">
        <f t="shared" si="2"/>
        <v>1.097844112769486</v>
      </c>
      <c r="G69" s="36">
        <f t="shared" si="3"/>
        <v>6743.6332767402373</v>
      </c>
    </row>
    <row r="70" spans="1:7" x14ac:dyDescent="0.3">
      <c r="A70" s="19" t="s">
        <v>26</v>
      </c>
      <c r="B70" s="28">
        <v>1995</v>
      </c>
      <c r="C70" s="27">
        <v>83604</v>
      </c>
      <c r="D70" s="25">
        <v>700000000</v>
      </c>
      <c r="E70" s="25">
        <v>623400000</v>
      </c>
      <c r="F70" s="34">
        <f t="shared" si="2"/>
        <v>1.122874558870709</v>
      </c>
      <c r="G70" s="36">
        <f t="shared" si="3"/>
        <v>8372.8051289411997</v>
      </c>
    </row>
    <row r="71" spans="1:7" x14ac:dyDescent="0.3">
      <c r="A71" s="19" t="s">
        <v>26</v>
      </c>
      <c r="B71" s="28">
        <v>1996</v>
      </c>
      <c r="C71" s="27">
        <v>101494</v>
      </c>
      <c r="D71" s="25">
        <v>741300000</v>
      </c>
      <c r="E71" s="25">
        <v>428272000</v>
      </c>
      <c r="F71" s="34">
        <f t="shared" si="2"/>
        <v>1.7309093286509507</v>
      </c>
      <c r="G71" s="36">
        <f t="shared" si="3"/>
        <v>7303.8800323171818</v>
      </c>
    </row>
    <row r="72" spans="1:7" x14ac:dyDescent="0.3">
      <c r="A72" s="19" t="s">
        <v>26</v>
      </c>
      <c r="B72" s="28">
        <v>1997</v>
      </c>
      <c r="C72" s="27">
        <v>79579</v>
      </c>
      <c r="D72" s="25">
        <v>845180000</v>
      </c>
      <c r="E72" s="25">
        <v>308023000</v>
      </c>
      <c r="F72" s="34">
        <f t="shared" si="2"/>
        <v>2.7438860085123515</v>
      </c>
      <c r="G72" s="36">
        <f t="shared" si="3"/>
        <v>10620.6411239146</v>
      </c>
    </row>
    <row r="73" spans="1:7" x14ac:dyDescent="0.3">
      <c r="A73" s="19" t="s">
        <v>26</v>
      </c>
      <c r="B73" s="28">
        <v>1998</v>
      </c>
      <c r="C73" s="27">
        <v>60994</v>
      </c>
      <c r="D73" s="25">
        <v>904290000</v>
      </c>
      <c r="E73" s="25">
        <v>466884000</v>
      </c>
      <c r="F73" s="34">
        <f t="shared" si="2"/>
        <v>1.9368622612897421</v>
      </c>
      <c r="G73" s="36">
        <f t="shared" si="3"/>
        <v>14825.884513230809</v>
      </c>
    </row>
    <row r="74" spans="1:7" x14ac:dyDescent="0.3">
      <c r="A74" s="19" t="s">
        <v>26</v>
      </c>
      <c r="B74" s="28">
        <v>1999</v>
      </c>
      <c r="C74" s="27">
        <v>67491</v>
      </c>
      <c r="D74" s="25">
        <v>1026400000.0000001</v>
      </c>
      <c r="E74" s="25">
        <v>375600000</v>
      </c>
      <c r="F74" s="34">
        <f t="shared" si="2"/>
        <v>2.7326943556975509</v>
      </c>
      <c r="G74" s="36">
        <f t="shared" si="3"/>
        <v>15207.953653079672</v>
      </c>
    </row>
    <row r="75" spans="1:7" x14ac:dyDescent="0.3">
      <c r="A75" s="19" t="s">
        <v>26</v>
      </c>
      <c r="B75" s="28">
        <v>2000</v>
      </c>
      <c r="C75" s="27">
        <v>59305</v>
      </c>
      <c r="D75" s="25">
        <v>1154100000</v>
      </c>
      <c r="E75" s="25">
        <v>435000000</v>
      </c>
      <c r="F75" s="34">
        <f t="shared" si="2"/>
        <v>2.653103448275862</v>
      </c>
      <c r="G75" s="36">
        <f t="shared" si="3"/>
        <v>19460.416491020995</v>
      </c>
    </row>
    <row r="76" spans="1:7" x14ac:dyDescent="0.3">
      <c r="A76" s="19" t="s">
        <v>26</v>
      </c>
      <c r="B76" s="28">
        <v>2001</v>
      </c>
      <c r="C76" s="27">
        <v>73176</v>
      </c>
      <c r="D76" s="25">
        <v>1201570000</v>
      </c>
      <c r="E76" s="25">
        <v>459840000</v>
      </c>
      <c r="F76" s="34">
        <f t="shared" si="2"/>
        <v>2.6130175713291579</v>
      </c>
      <c r="G76" s="36">
        <f t="shared" si="3"/>
        <v>16420.274406909368</v>
      </c>
    </row>
    <row r="77" spans="1:7" x14ac:dyDescent="0.3">
      <c r="A77" s="19" t="s">
        <v>26</v>
      </c>
      <c r="B77" s="28">
        <v>2002</v>
      </c>
      <c r="C77" s="27">
        <v>66635</v>
      </c>
      <c r="D77" s="25">
        <v>1305300000</v>
      </c>
      <c r="E77" s="25">
        <v>485519000</v>
      </c>
      <c r="F77" s="34">
        <f t="shared" si="2"/>
        <v>2.6884632733219505</v>
      </c>
      <c r="G77" s="36">
        <f t="shared" si="3"/>
        <v>19588.804682224058</v>
      </c>
    </row>
    <row r="78" spans="1:7" x14ac:dyDescent="0.3">
      <c r="A78" s="19" t="s">
        <v>26</v>
      </c>
      <c r="B78" s="28">
        <v>2003</v>
      </c>
      <c r="C78" s="27">
        <v>61050</v>
      </c>
      <c r="D78" s="25">
        <v>1183500000</v>
      </c>
      <c r="E78" s="25">
        <v>785723000</v>
      </c>
      <c r="F78" s="34">
        <f t="shared" si="2"/>
        <v>1.506256021524125</v>
      </c>
      <c r="G78" s="36">
        <f t="shared" si="3"/>
        <v>19385.749385749386</v>
      </c>
    </row>
    <row r="79" spans="1:7" x14ac:dyDescent="0.3">
      <c r="A79" s="19" t="s">
        <v>26</v>
      </c>
      <c r="B79" s="28">
        <v>2004</v>
      </c>
      <c r="C79" s="27">
        <v>53058</v>
      </c>
      <c r="D79" s="25">
        <v>1139244000</v>
      </c>
      <c r="E79" s="25">
        <v>852242000</v>
      </c>
      <c r="F79" s="34">
        <f t="shared" si="2"/>
        <v>1.3367611546954974</v>
      </c>
      <c r="G79" s="36">
        <f t="shared" si="3"/>
        <v>21471.672509329412</v>
      </c>
    </row>
    <row r="80" spans="1:7" x14ac:dyDescent="0.3">
      <c r="A80" s="19" t="s">
        <v>26</v>
      </c>
      <c r="B80" s="28">
        <v>2005</v>
      </c>
      <c r="C80" s="27">
        <v>50335</v>
      </c>
      <c r="D80" s="25">
        <v>1089014000</v>
      </c>
      <c r="E80" s="25">
        <v>887120000</v>
      </c>
      <c r="F80" s="34">
        <f t="shared" si="2"/>
        <v>1.2275836414464785</v>
      </c>
      <c r="G80" s="36">
        <f t="shared" si="3"/>
        <v>21635.323333664448</v>
      </c>
    </row>
    <row r="81" spans="1:7" x14ac:dyDescent="0.3">
      <c r="A81" s="19" t="s">
        <v>26</v>
      </c>
      <c r="B81" s="28">
        <v>2006</v>
      </c>
      <c r="C81" s="27">
        <v>33177</v>
      </c>
      <c r="D81" s="25">
        <v>1070430000.0000001</v>
      </c>
      <c r="E81" s="25">
        <v>910210000</v>
      </c>
      <c r="F81" s="34">
        <f t="shared" si="2"/>
        <v>1.1760253128398943</v>
      </c>
      <c r="G81" s="36">
        <f t="shared" si="3"/>
        <v>32264.219187991686</v>
      </c>
    </row>
    <row r="82" spans="1:7" x14ac:dyDescent="0.3">
      <c r="A82" s="19" t="s">
        <v>26</v>
      </c>
      <c r="B82" s="28">
        <v>2007</v>
      </c>
      <c r="C82" s="27">
        <v>58424</v>
      </c>
      <c r="D82" s="25">
        <v>1081230000</v>
      </c>
      <c r="E82" s="25">
        <v>1059599999.9999999</v>
      </c>
      <c r="F82" s="34">
        <f t="shared" si="2"/>
        <v>1.0204133635334089</v>
      </c>
      <c r="G82" s="36">
        <f t="shared" si="3"/>
        <v>18506.606873887442</v>
      </c>
    </row>
    <row r="83" spans="1:7" x14ac:dyDescent="0.3">
      <c r="A83" s="19" t="s">
        <v>26</v>
      </c>
      <c r="B83" s="28">
        <v>2008</v>
      </c>
      <c r="C83" s="27">
        <v>270167</v>
      </c>
      <c r="D83" s="25">
        <v>1099310000</v>
      </c>
      <c r="E83" s="25">
        <v>1211083000</v>
      </c>
      <c r="F83" s="34">
        <f t="shared" si="2"/>
        <v>0.9077082247872359</v>
      </c>
      <c r="G83" s="36">
        <f t="shared" si="3"/>
        <v>4069.001765574626</v>
      </c>
    </row>
    <row r="84" spans="1:7" x14ac:dyDescent="0.3">
      <c r="A84" s="19" t="s">
        <v>26</v>
      </c>
      <c r="B84" s="28">
        <v>2009</v>
      </c>
      <c r="C84" s="27">
        <v>270724</v>
      </c>
      <c r="D84" s="25">
        <v>1086033000</v>
      </c>
      <c r="E84" s="25">
        <v>1183944000</v>
      </c>
      <c r="F84" s="34">
        <f t="shared" si="2"/>
        <v>0.91730098720885445</v>
      </c>
      <c r="G84" s="36">
        <f t="shared" si="3"/>
        <v>4011.5874469939863</v>
      </c>
    </row>
    <row r="85" spans="1:7" x14ac:dyDescent="0.3">
      <c r="A85" s="19" t="s">
        <v>26</v>
      </c>
      <c r="B85" s="28">
        <v>2010</v>
      </c>
      <c r="C85" s="27">
        <v>205296</v>
      </c>
      <c r="D85" s="25">
        <v>1086017000</v>
      </c>
      <c r="E85" s="25">
        <v>1315867000</v>
      </c>
      <c r="F85" s="34">
        <f t="shared" si="2"/>
        <v>0.82532429189272172</v>
      </c>
      <c r="G85" s="36">
        <f t="shared" si="3"/>
        <v>5290.0056503779906</v>
      </c>
    </row>
    <row r="86" spans="1:7" x14ac:dyDescent="0.3">
      <c r="A86" s="19" t="s">
        <v>26</v>
      </c>
      <c r="B86" s="28">
        <v>2011</v>
      </c>
      <c r="C86" s="27">
        <v>274121</v>
      </c>
      <c r="D86" s="25">
        <v>1076971000</v>
      </c>
      <c r="E86" s="25">
        <v>1368602000</v>
      </c>
      <c r="F86" s="34">
        <f t="shared" si="2"/>
        <v>0.78691321509101986</v>
      </c>
      <c r="G86" s="36">
        <f t="shared" si="3"/>
        <v>3928.8161067557758</v>
      </c>
    </row>
    <row r="87" spans="1:7" x14ac:dyDescent="0.3">
      <c r="A87" s="19" t="s">
        <v>26</v>
      </c>
      <c r="B87" s="28">
        <v>2012</v>
      </c>
      <c r="C87" s="27">
        <v>261645</v>
      </c>
      <c r="D87" s="25">
        <v>1025855000</v>
      </c>
      <c r="E87" s="25">
        <v>1482501000</v>
      </c>
      <c r="F87" s="34">
        <f t="shared" si="2"/>
        <v>0.69197592446817913</v>
      </c>
      <c r="G87" s="36">
        <f t="shared" si="3"/>
        <v>3920.7896195226358</v>
      </c>
    </row>
    <row r="88" spans="1:7" x14ac:dyDescent="0.3">
      <c r="A88" s="19" t="s">
        <v>26</v>
      </c>
      <c r="B88" s="28">
        <v>2013</v>
      </c>
      <c r="C88" s="27">
        <v>251739</v>
      </c>
      <c r="D88" s="25">
        <v>983983000</v>
      </c>
      <c r="E88" s="25">
        <v>1605130000</v>
      </c>
      <c r="F88" s="34">
        <f t="shared" si="2"/>
        <v>0.61302386722570756</v>
      </c>
      <c r="G88" s="36">
        <f t="shared" si="3"/>
        <v>3908.7427851862444</v>
      </c>
    </row>
    <row r="89" spans="1:7" x14ac:dyDescent="0.3">
      <c r="A89" s="19" t="s">
        <v>26</v>
      </c>
      <c r="B89" s="28">
        <v>2014</v>
      </c>
      <c r="C89" s="27">
        <v>268923</v>
      </c>
      <c r="D89" s="25">
        <v>1096898000</v>
      </c>
      <c r="E89" s="25">
        <v>1711204000</v>
      </c>
      <c r="F89" s="34">
        <f t="shared" si="2"/>
        <v>0.64100948805636271</v>
      </c>
      <c r="G89" s="36">
        <f t="shared" si="3"/>
        <v>4078.8552857137547</v>
      </c>
    </row>
    <row r="90" spans="1:7" x14ac:dyDescent="0.3">
      <c r="A90" s="19" t="s">
        <v>26</v>
      </c>
      <c r="B90" s="28">
        <v>2015</v>
      </c>
      <c r="C90" s="27">
        <v>248295</v>
      </c>
      <c r="D90" s="25">
        <v>1071659000.0000001</v>
      </c>
      <c r="E90" s="25">
        <v>1828071000</v>
      </c>
      <c r="F90" s="34">
        <f t="shared" si="2"/>
        <v>0.58622394863219218</v>
      </c>
      <c r="G90" s="36">
        <f t="shared" si="3"/>
        <v>4316.0716083690777</v>
      </c>
    </row>
    <row r="91" spans="1:7" x14ac:dyDescent="0.3">
      <c r="A91" s="19" t="s">
        <v>26</v>
      </c>
      <c r="B91" s="28">
        <v>2016</v>
      </c>
      <c r="C91" s="27">
        <v>249796</v>
      </c>
      <c r="D91" s="25">
        <v>1095100000</v>
      </c>
      <c r="E91" s="25">
        <v>1913619000</v>
      </c>
      <c r="F91" s="34">
        <f t="shared" si="2"/>
        <v>0.57226647519699581</v>
      </c>
      <c r="G91" s="36">
        <f t="shared" si="3"/>
        <v>4383.9773254976062</v>
      </c>
    </row>
    <row r="92" spans="1:7" x14ac:dyDescent="0.3">
      <c r="A92" s="19" t="s">
        <v>26</v>
      </c>
      <c r="B92" s="28">
        <v>2017</v>
      </c>
      <c r="C92" s="27">
        <v>244528</v>
      </c>
      <c r="D92" s="25">
        <v>1149968000</v>
      </c>
      <c r="E92" s="25">
        <v>2107491000</v>
      </c>
      <c r="F92" s="34">
        <f t="shared" si="2"/>
        <v>0.54565737172780338</v>
      </c>
      <c r="G92" s="36">
        <f t="shared" si="3"/>
        <v>4702.8070405025192</v>
      </c>
    </row>
    <row r="93" spans="1:7" x14ac:dyDescent="0.3">
      <c r="A93" s="19" t="s">
        <v>26</v>
      </c>
      <c r="B93" s="28">
        <v>2018</v>
      </c>
      <c r="C93" s="27">
        <v>262383</v>
      </c>
      <c r="D93" s="25">
        <v>1721809000</v>
      </c>
      <c r="E93" s="25">
        <v>2251166000</v>
      </c>
      <c r="F93" s="34">
        <f t="shared" si="2"/>
        <v>0.76485208109930591</v>
      </c>
      <c r="G93" s="36">
        <f t="shared" si="3"/>
        <v>6562.1972460106026</v>
      </c>
    </row>
    <row r="94" spans="1:7" x14ac:dyDescent="0.3">
      <c r="A94" s="19" t="s">
        <v>26</v>
      </c>
      <c r="B94" s="28">
        <v>2019</v>
      </c>
      <c r="C94" s="27">
        <v>254193</v>
      </c>
      <c r="D94" s="25">
        <v>1656323000</v>
      </c>
      <c r="E94" s="25">
        <v>2401983000</v>
      </c>
      <c r="F94" s="34">
        <f t="shared" si="2"/>
        <v>0.68956483039222172</v>
      </c>
      <c r="G94" s="36">
        <f t="shared" si="3"/>
        <v>6516.0055548343189</v>
      </c>
    </row>
    <row r="95" spans="1:7" x14ac:dyDescent="0.3">
      <c r="A95" s="19" t="s">
        <v>26</v>
      </c>
      <c r="B95" s="28">
        <v>2020</v>
      </c>
      <c r="C95" s="27">
        <v>233626</v>
      </c>
      <c r="D95" s="25">
        <v>1449398000</v>
      </c>
      <c r="E95" s="25">
        <v>2010823000</v>
      </c>
      <c r="F95" s="34">
        <f t="shared" si="2"/>
        <v>0.72079839946131508</v>
      </c>
      <c r="G95" s="36">
        <f t="shared" si="3"/>
        <v>6203.9242207630996</v>
      </c>
    </row>
    <row r="96" spans="1:7" x14ac:dyDescent="0.3">
      <c r="A96" s="19" t="s">
        <v>26</v>
      </c>
      <c r="B96" s="28">
        <v>2021</v>
      </c>
      <c r="C96" s="27">
        <v>292854</v>
      </c>
      <c r="D96" s="25">
        <v>2142179000</v>
      </c>
      <c r="E96" s="25">
        <v>2119739999.9999998</v>
      </c>
      <c r="F96" s="34">
        <f t="shared" si="2"/>
        <v>1.0105857322124412</v>
      </c>
      <c r="G96" s="36">
        <f t="shared" si="3"/>
        <v>7314.8360616552955</v>
      </c>
    </row>
    <row r="97" spans="1:7" x14ac:dyDescent="0.3">
      <c r="A97" s="19" t="s">
        <v>26</v>
      </c>
      <c r="B97" s="28">
        <v>2022</v>
      </c>
      <c r="C97" s="27">
        <v>336877</v>
      </c>
      <c r="D97" s="25">
        <v>2167750000</v>
      </c>
      <c r="E97" s="25">
        <v>2540008000</v>
      </c>
      <c r="F97" s="34">
        <f t="shared" si="2"/>
        <v>0.85344219388285392</v>
      </c>
      <c r="G97" s="36">
        <f t="shared" si="3"/>
        <v>6434.8412031691096</v>
      </c>
    </row>
    <row r="101" spans="1:7" x14ac:dyDescent="0.3">
      <c r="A101" s="30" t="s">
        <v>20</v>
      </c>
    </row>
    <row r="103" spans="1:7" x14ac:dyDescent="0.3">
      <c r="A103" s="30" t="s">
        <v>19</v>
      </c>
    </row>
    <row r="105" spans="1:7" x14ac:dyDescent="0.3">
      <c r="A105" s="30" t="s">
        <v>27</v>
      </c>
    </row>
    <row r="107" spans="1:7" x14ac:dyDescent="0.3">
      <c r="A107" s="30" t="s">
        <v>22</v>
      </c>
    </row>
    <row r="109" spans="1:7" x14ac:dyDescent="0.3">
      <c r="A109" s="30"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68D1-21F0-404B-BED9-19F697633BA7}">
  <dimension ref="A1:K51"/>
  <sheetViews>
    <sheetView workbookViewId="0">
      <selection activeCell="U15" sqref="U15"/>
    </sheetView>
  </sheetViews>
  <sheetFormatPr defaultRowHeight="14.4" x14ac:dyDescent="0.3"/>
  <cols>
    <col min="1" max="1" width="27.5546875" bestFit="1" customWidth="1"/>
    <col min="2" max="3" width="16.109375" bestFit="1" customWidth="1"/>
    <col min="4" max="4" width="11.33203125" customWidth="1"/>
    <col min="5" max="5" width="32" bestFit="1" customWidth="1"/>
    <col min="6" max="6" width="15.5546875" bestFit="1" customWidth="1"/>
    <col min="7" max="7" width="5.44140625" bestFit="1" customWidth="1"/>
    <col min="8" max="8" width="10.77734375" bestFit="1" customWidth="1"/>
    <col min="9" max="9" width="29.33203125" bestFit="1" customWidth="1"/>
    <col min="10" max="10" width="15.5546875" bestFit="1" customWidth="1"/>
    <col min="11" max="11" width="10.109375" bestFit="1" customWidth="1"/>
    <col min="12" max="12" width="13.109375" bestFit="1" customWidth="1"/>
    <col min="13" max="13" width="10.77734375" bestFit="1" customWidth="1"/>
    <col min="14" max="15" width="15.88671875" bestFit="1" customWidth="1"/>
    <col min="16" max="16" width="20.6640625" bestFit="1" customWidth="1"/>
    <col min="17" max="42" width="6" bestFit="1" customWidth="1"/>
    <col min="43" max="43" width="9.44140625" bestFit="1" customWidth="1"/>
    <col min="44" max="54" width="6" bestFit="1" customWidth="1"/>
    <col min="55" max="55" width="8" bestFit="1" customWidth="1"/>
    <col min="56" max="71" width="6" bestFit="1" customWidth="1"/>
    <col min="72" max="87" width="7" bestFit="1" customWidth="1"/>
    <col min="88" max="88" width="8.6640625" bestFit="1" customWidth="1"/>
    <col min="89" max="89" width="10.77734375" bestFit="1" customWidth="1"/>
  </cols>
  <sheetData>
    <row r="1" spans="1:11" x14ac:dyDescent="0.3">
      <c r="A1" s="51" t="s">
        <v>31</v>
      </c>
      <c r="B1" s="51"/>
      <c r="C1" s="51"/>
      <c r="E1" s="51" t="s">
        <v>28</v>
      </c>
      <c r="F1" s="51"/>
      <c r="G1" s="51"/>
      <c r="I1" s="51" t="s">
        <v>30</v>
      </c>
      <c r="J1" s="51"/>
      <c r="K1" s="51"/>
    </row>
    <row r="2" spans="1:11" x14ac:dyDescent="0.3">
      <c r="A2" s="16" t="s">
        <v>21</v>
      </c>
      <c r="B2" s="16" t="s">
        <v>25</v>
      </c>
      <c r="E2" s="16" t="s">
        <v>34</v>
      </c>
      <c r="F2" s="16" t="s">
        <v>33</v>
      </c>
      <c r="I2" s="16" t="s">
        <v>35</v>
      </c>
      <c r="J2" s="16" t="s">
        <v>33</v>
      </c>
    </row>
    <row r="3" spans="1:11" x14ac:dyDescent="0.3">
      <c r="A3" s="16" t="s">
        <v>16</v>
      </c>
      <c r="B3" t="s">
        <v>23</v>
      </c>
      <c r="C3" t="s">
        <v>26</v>
      </c>
      <c r="E3" s="16" t="s">
        <v>32</v>
      </c>
      <c r="F3" t="s">
        <v>23</v>
      </c>
      <c r="G3" t="s">
        <v>26</v>
      </c>
      <c r="I3" s="16" t="s">
        <v>32</v>
      </c>
      <c r="J3" t="s">
        <v>23</v>
      </c>
      <c r="K3" t="s">
        <v>26</v>
      </c>
    </row>
    <row r="4" spans="1:11" x14ac:dyDescent="0.3">
      <c r="A4">
        <v>1975</v>
      </c>
      <c r="B4" s="33">
        <v>56547200</v>
      </c>
      <c r="C4" s="33">
        <v>95400000</v>
      </c>
      <c r="E4" s="37">
        <v>1975</v>
      </c>
      <c r="F4" s="38">
        <v>0.2141361552826665</v>
      </c>
      <c r="G4" s="38">
        <v>0.1488469601677149</v>
      </c>
      <c r="I4" s="37">
        <v>1975</v>
      </c>
      <c r="J4" s="33">
        <v>3176.8286283975231</v>
      </c>
      <c r="K4" s="33">
        <v>235.07909915040429</v>
      </c>
    </row>
    <row r="5" spans="1:11" x14ac:dyDescent="0.3">
      <c r="A5">
        <v>1976</v>
      </c>
      <c r="B5" s="33">
        <v>56547200</v>
      </c>
      <c r="C5" s="33">
        <v>95400000</v>
      </c>
      <c r="E5" s="37">
        <v>1976</v>
      </c>
      <c r="F5" s="38">
        <v>0.2141361552826665</v>
      </c>
      <c r="G5" s="38">
        <v>0.1488469601677149</v>
      </c>
      <c r="I5" s="37">
        <v>1976</v>
      </c>
      <c r="J5" s="33">
        <v>3176.8286283975231</v>
      </c>
      <c r="K5" s="33">
        <v>235.07909915040429</v>
      </c>
    </row>
    <row r="6" spans="1:11" x14ac:dyDescent="0.3">
      <c r="A6">
        <v>1977</v>
      </c>
      <c r="B6" s="33">
        <v>56547200</v>
      </c>
      <c r="C6" s="33">
        <v>95400000</v>
      </c>
      <c r="E6" s="37">
        <v>1977</v>
      </c>
      <c r="F6" s="38">
        <v>0.2141361552826665</v>
      </c>
      <c r="G6" s="38">
        <v>0.1488469601677149</v>
      </c>
      <c r="I6" s="37">
        <v>1977</v>
      </c>
      <c r="J6" s="33">
        <v>3176.8286283975231</v>
      </c>
      <c r="K6" s="33">
        <v>235.07909915040429</v>
      </c>
    </row>
    <row r="7" spans="1:11" x14ac:dyDescent="0.3">
      <c r="A7">
        <v>1978</v>
      </c>
      <c r="B7" s="33">
        <v>56547200</v>
      </c>
      <c r="C7" s="33">
        <v>95400000</v>
      </c>
      <c r="E7" s="37">
        <v>1978</v>
      </c>
      <c r="F7" s="38">
        <v>0.2141361552826665</v>
      </c>
      <c r="G7" s="38">
        <v>0.1488469601677149</v>
      </c>
      <c r="I7" s="37">
        <v>1978</v>
      </c>
      <c r="J7" s="33">
        <v>3176.8286283975231</v>
      </c>
      <c r="K7" s="33">
        <v>235.07909915040429</v>
      </c>
    </row>
    <row r="8" spans="1:11" x14ac:dyDescent="0.3">
      <c r="A8">
        <v>1979</v>
      </c>
      <c r="B8" s="33">
        <v>56547200</v>
      </c>
      <c r="C8" s="33">
        <v>95400000</v>
      </c>
      <c r="E8" s="37">
        <v>1979</v>
      </c>
      <c r="F8" s="38">
        <v>0.2141361552826665</v>
      </c>
      <c r="G8" s="38">
        <v>0.1488469601677149</v>
      </c>
      <c r="I8" s="37">
        <v>1979</v>
      </c>
      <c r="J8" s="33">
        <v>3176.8286283975231</v>
      </c>
      <c r="K8" s="33">
        <v>235.07909915040429</v>
      </c>
    </row>
    <row r="9" spans="1:11" x14ac:dyDescent="0.3">
      <c r="A9">
        <v>1980</v>
      </c>
      <c r="B9" s="33">
        <v>72703000</v>
      </c>
      <c r="C9" s="33">
        <v>140600000</v>
      </c>
      <c r="E9" s="37">
        <v>1980</v>
      </c>
      <c r="F9" s="38">
        <v>0.50506856663411415</v>
      </c>
      <c r="G9" s="38">
        <v>0.20839260312944524</v>
      </c>
      <c r="I9" s="37">
        <v>1980</v>
      </c>
      <c r="J9" s="33">
        <v>3124.840439111565</v>
      </c>
      <c r="K9" s="33">
        <v>411.63248103399832</v>
      </c>
    </row>
    <row r="10" spans="1:11" x14ac:dyDescent="0.3">
      <c r="A10">
        <v>1981</v>
      </c>
      <c r="B10" s="33">
        <v>102127000</v>
      </c>
      <c r="C10" s="33">
        <v>152600000</v>
      </c>
      <c r="E10" s="37">
        <v>1981</v>
      </c>
      <c r="F10" s="38">
        <v>0.40665054295142322</v>
      </c>
      <c r="G10" s="38">
        <v>0.23722149410222804</v>
      </c>
      <c r="I10" s="37">
        <v>1981</v>
      </c>
      <c r="J10" s="33">
        <v>3273.429494758414</v>
      </c>
      <c r="K10" s="33">
        <v>432.23364497140335</v>
      </c>
    </row>
    <row r="11" spans="1:11" x14ac:dyDescent="0.3">
      <c r="A11">
        <v>1982</v>
      </c>
      <c r="B11" s="33">
        <v>98940000</v>
      </c>
      <c r="C11" s="33">
        <v>163500000</v>
      </c>
      <c r="E11" s="37">
        <v>1982</v>
      </c>
      <c r="F11" s="38">
        <v>0.56205781281584799</v>
      </c>
      <c r="G11" s="38">
        <v>0.24036697247706423</v>
      </c>
      <c r="I11" s="37">
        <v>1982</v>
      </c>
      <c r="J11" s="33">
        <v>4139.8049579394028</v>
      </c>
      <c r="K11" s="33">
        <v>417.98283398742859</v>
      </c>
    </row>
    <row r="12" spans="1:11" x14ac:dyDescent="0.3">
      <c r="A12">
        <v>1983</v>
      </c>
      <c r="B12" s="33">
        <v>124257000</v>
      </c>
      <c r="C12" s="33">
        <v>173400000</v>
      </c>
      <c r="E12" s="37">
        <v>1983</v>
      </c>
      <c r="F12" s="38">
        <v>0.72712201324673864</v>
      </c>
      <c r="G12" s="38">
        <v>0.28489042675893889</v>
      </c>
      <c r="I12" s="37">
        <v>1983</v>
      </c>
      <c r="J12" s="33">
        <v>5713.6533232150759</v>
      </c>
      <c r="K12" s="33">
        <v>571.3889145923938</v>
      </c>
    </row>
    <row r="13" spans="1:11" x14ac:dyDescent="0.3">
      <c r="A13">
        <v>1984</v>
      </c>
      <c r="B13" s="33">
        <v>106737000</v>
      </c>
      <c r="C13" s="33">
        <v>186900000</v>
      </c>
      <c r="E13" s="37">
        <v>1984</v>
      </c>
      <c r="F13" s="38">
        <v>1.1681984691344145</v>
      </c>
      <c r="G13" s="38">
        <v>0.31567683253076512</v>
      </c>
      <c r="I13" s="37">
        <v>1984</v>
      </c>
      <c r="J13" s="33">
        <v>6230.4502073652129</v>
      </c>
      <c r="K13" s="33">
        <v>817.08397961444712</v>
      </c>
    </row>
    <row r="14" spans="1:11" x14ac:dyDescent="0.3">
      <c r="A14">
        <v>1985</v>
      </c>
      <c r="B14" s="33">
        <v>130567000</v>
      </c>
      <c r="C14" s="33">
        <v>195800000</v>
      </c>
      <c r="E14" s="37">
        <v>1985</v>
      </c>
      <c r="F14" s="38">
        <v>1.3455160951848477</v>
      </c>
      <c r="G14" s="38">
        <v>0.34525025536261489</v>
      </c>
      <c r="I14" s="37">
        <v>1985</v>
      </c>
      <c r="J14" s="33">
        <v>7109.3844846424672</v>
      </c>
      <c r="K14" s="33">
        <v>1299.625108141882</v>
      </c>
    </row>
    <row r="15" spans="1:11" x14ac:dyDescent="0.3">
      <c r="A15">
        <v>1986</v>
      </c>
      <c r="B15" s="33">
        <v>152623000</v>
      </c>
      <c r="C15" s="33">
        <v>198100000</v>
      </c>
      <c r="E15" s="37">
        <v>1986</v>
      </c>
      <c r="F15" s="38">
        <v>1.3064217057717382</v>
      </c>
      <c r="G15" s="38">
        <v>0.40585562847046946</v>
      </c>
      <c r="I15" s="37">
        <v>1986</v>
      </c>
      <c r="J15" s="33">
        <v>15486.601941747573</v>
      </c>
      <c r="K15" s="33">
        <v>1769.1325969282225</v>
      </c>
    </row>
    <row r="16" spans="1:11" x14ac:dyDescent="0.3">
      <c r="A16">
        <v>1987</v>
      </c>
      <c r="B16" s="33">
        <v>217890000</v>
      </c>
      <c r="C16" s="33">
        <v>256600000.00000003</v>
      </c>
      <c r="E16" s="37">
        <v>1987</v>
      </c>
      <c r="F16" s="38">
        <v>0.98269769149570885</v>
      </c>
      <c r="G16" s="38">
        <v>0.34567420109119246</v>
      </c>
      <c r="I16" s="37">
        <v>1987</v>
      </c>
      <c r="J16" s="33">
        <v>6029.1715943008394</v>
      </c>
      <c r="K16" s="33">
        <v>1990.6191790659575</v>
      </c>
    </row>
    <row r="17" spans="1:11" x14ac:dyDescent="0.3">
      <c r="A17">
        <v>1988</v>
      </c>
      <c r="B17" s="33">
        <v>192285000</v>
      </c>
      <c r="C17" s="33">
        <v>268399999.99999997</v>
      </c>
      <c r="E17" s="37">
        <v>1988</v>
      </c>
      <c r="F17" s="38">
        <v>1.439997919754531</v>
      </c>
      <c r="G17" s="38">
        <v>0.48025335320417295</v>
      </c>
      <c r="I17" s="37">
        <v>1988</v>
      </c>
      <c r="J17" s="33">
        <v>9790.3260024043557</v>
      </c>
      <c r="K17" s="33">
        <v>2097.1966874379709</v>
      </c>
    </row>
    <row r="18" spans="1:11" x14ac:dyDescent="0.3">
      <c r="A18">
        <v>1989</v>
      </c>
      <c r="B18" s="33">
        <v>214803000</v>
      </c>
      <c r="C18" s="33">
        <v>297700000</v>
      </c>
      <c r="E18" s="37">
        <v>1989</v>
      </c>
      <c r="F18" s="38">
        <v>1.0976569228548949</v>
      </c>
      <c r="G18" s="38">
        <v>0.51561975142761174</v>
      </c>
      <c r="I18" s="37">
        <v>1989</v>
      </c>
      <c r="J18" s="33">
        <v>2420.6149581643654</v>
      </c>
      <c r="K18" s="33">
        <v>2810.8405054019408</v>
      </c>
    </row>
    <row r="19" spans="1:11" x14ac:dyDescent="0.3">
      <c r="A19">
        <v>1990</v>
      </c>
      <c r="B19" s="33">
        <v>394272000</v>
      </c>
      <c r="C19" s="33">
        <v>314000000</v>
      </c>
      <c r="E19" s="37">
        <v>1990</v>
      </c>
      <c r="F19" s="38">
        <v>0.83754362470578692</v>
      </c>
      <c r="G19" s="38">
        <v>0.6047770700636943</v>
      </c>
      <c r="I19" s="37">
        <v>1990</v>
      </c>
      <c r="J19" s="33">
        <v>6687.3228027541518</v>
      </c>
      <c r="K19" s="33">
        <v>3313.5578433083233</v>
      </c>
    </row>
    <row r="20" spans="1:11" x14ac:dyDescent="0.3">
      <c r="A20">
        <v>1991</v>
      </c>
      <c r="B20" s="33">
        <v>347375000</v>
      </c>
      <c r="C20" s="33">
        <v>329100000</v>
      </c>
      <c r="E20" s="37">
        <v>1991</v>
      </c>
      <c r="F20" s="38">
        <v>1.0535012594458437</v>
      </c>
      <c r="G20" s="38">
        <v>0.65603160133697969</v>
      </c>
      <c r="I20" s="37">
        <v>1991</v>
      </c>
      <c r="J20" s="33">
        <v>6549.3852569035562</v>
      </c>
      <c r="K20" s="33">
        <v>3727.8770612103945</v>
      </c>
    </row>
    <row r="21" spans="1:11" x14ac:dyDescent="0.3">
      <c r="A21">
        <v>1992</v>
      </c>
      <c r="B21" s="33">
        <v>356395000</v>
      </c>
      <c r="C21" s="33">
        <v>375700000</v>
      </c>
      <c r="E21" s="37">
        <v>1992</v>
      </c>
      <c r="F21" s="38">
        <v>1.1634843362000029</v>
      </c>
      <c r="G21" s="38">
        <v>0.76417354272025551</v>
      </c>
      <c r="I21" s="37">
        <v>1992</v>
      </c>
      <c r="J21" s="33">
        <v>7157.0844192830145</v>
      </c>
      <c r="K21" s="33">
        <v>4620.8816854710212</v>
      </c>
    </row>
    <row r="22" spans="1:11" x14ac:dyDescent="0.3">
      <c r="A22">
        <v>1993</v>
      </c>
      <c r="B22" s="33">
        <v>471686000</v>
      </c>
      <c r="C22" s="33">
        <v>448700000</v>
      </c>
      <c r="E22" s="37">
        <v>1993</v>
      </c>
      <c r="F22" s="38">
        <v>1.00219213629406</v>
      </c>
      <c r="G22" s="38">
        <v>0.83753064408290623</v>
      </c>
      <c r="I22" s="37">
        <v>1993</v>
      </c>
      <c r="J22" s="33">
        <v>7368.5194999532378</v>
      </c>
      <c r="K22" s="33">
        <v>5512.2037080497539</v>
      </c>
    </row>
    <row r="23" spans="1:11" x14ac:dyDescent="0.3">
      <c r="A23">
        <v>1994</v>
      </c>
      <c r="B23" s="33">
        <v>538858000</v>
      </c>
      <c r="C23" s="33">
        <v>542700000</v>
      </c>
      <c r="E23" s="37">
        <v>1994</v>
      </c>
      <c r="F23" s="38">
        <v>0.97680650561001225</v>
      </c>
      <c r="G23" s="38">
        <v>1.097844112769486</v>
      </c>
      <c r="I23" s="37">
        <v>1994</v>
      </c>
      <c r="J23" s="33">
        <v>8860.8319445145862</v>
      </c>
      <c r="K23" s="33">
        <v>6743.6332767402373</v>
      </c>
    </row>
    <row r="24" spans="1:11" x14ac:dyDescent="0.3">
      <c r="A24">
        <v>1995</v>
      </c>
      <c r="B24" s="33">
        <v>525224000.00000006</v>
      </c>
      <c r="C24" s="33">
        <v>623400000</v>
      </c>
      <c r="E24" s="37">
        <v>1995</v>
      </c>
      <c r="F24" s="38">
        <v>1.0812339116262775</v>
      </c>
      <c r="G24" s="38">
        <v>1.122874558870709</v>
      </c>
      <c r="I24" s="37">
        <v>1995</v>
      </c>
      <c r="J24" s="33">
        <v>8095.0208829273161</v>
      </c>
      <c r="K24" s="33">
        <v>8372.8051289411997</v>
      </c>
    </row>
    <row r="25" spans="1:11" x14ac:dyDescent="0.3">
      <c r="A25">
        <v>1996</v>
      </c>
      <c r="B25" s="33">
        <v>547600000</v>
      </c>
      <c r="C25" s="33">
        <v>428272000</v>
      </c>
      <c r="E25" s="37">
        <v>1996</v>
      </c>
      <c r="F25" s="38">
        <v>1.1254747991234477</v>
      </c>
      <c r="G25" s="38">
        <v>1.7309093286509507</v>
      </c>
      <c r="I25" s="37">
        <v>1996</v>
      </c>
      <c r="J25" s="33">
        <v>7790.9387404242407</v>
      </c>
      <c r="K25" s="33">
        <v>7303.8800323171818</v>
      </c>
    </row>
    <row r="26" spans="1:11" x14ac:dyDescent="0.3">
      <c r="A26">
        <v>1997</v>
      </c>
      <c r="B26" s="33">
        <v>490668000</v>
      </c>
      <c r="C26" s="33">
        <v>308023000</v>
      </c>
      <c r="E26" s="37">
        <v>1997</v>
      </c>
      <c r="F26" s="38">
        <v>1.3696633976538106</v>
      </c>
      <c r="G26" s="38">
        <v>2.7438860085123515</v>
      </c>
      <c r="I26" s="37">
        <v>1997</v>
      </c>
      <c r="J26" s="33">
        <v>8038.2025428492825</v>
      </c>
      <c r="K26" s="33">
        <v>10620.6411239146</v>
      </c>
    </row>
    <row r="27" spans="1:11" x14ac:dyDescent="0.3">
      <c r="A27">
        <v>1998</v>
      </c>
      <c r="B27" s="33">
        <v>525328000</v>
      </c>
      <c r="C27" s="33">
        <v>466884000</v>
      </c>
      <c r="E27" s="37">
        <v>1998</v>
      </c>
      <c r="F27" s="38">
        <v>1.2742705509700607</v>
      </c>
      <c r="G27" s="38">
        <v>1.9368622612897421</v>
      </c>
      <c r="I27" s="37">
        <v>1998</v>
      </c>
      <c r="J27" s="33">
        <v>8138.1297412954682</v>
      </c>
      <c r="K27" s="33">
        <v>14825.884513230809</v>
      </c>
    </row>
    <row r="28" spans="1:11" x14ac:dyDescent="0.3">
      <c r="A28">
        <v>1999</v>
      </c>
      <c r="B28" s="33">
        <v>490625000</v>
      </c>
      <c r="C28" s="33">
        <v>375600000</v>
      </c>
      <c r="E28" s="37">
        <v>1999</v>
      </c>
      <c r="F28" s="38">
        <v>1.5250955414012739</v>
      </c>
      <c r="G28" s="38">
        <v>2.7326943556975509</v>
      </c>
      <c r="I28" s="37">
        <v>1999</v>
      </c>
      <c r="J28" s="33">
        <v>11267.298107184268</v>
      </c>
      <c r="K28" s="33">
        <v>15207.953653079672</v>
      </c>
    </row>
    <row r="29" spans="1:11" x14ac:dyDescent="0.3">
      <c r="A29">
        <v>2000</v>
      </c>
      <c r="B29" s="33">
        <v>571418000</v>
      </c>
      <c r="C29" s="33">
        <v>435000000</v>
      </c>
      <c r="E29" s="37">
        <v>2000</v>
      </c>
      <c r="F29" s="38">
        <v>1.2753885946890018</v>
      </c>
      <c r="G29" s="38">
        <v>2.653103448275862</v>
      </c>
      <c r="I29" s="37">
        <v>2000</v>
      </c>
      <c r="J29" s="33">
        <v>11206.138327644001</v>
      </c>
      <c r="K29" s="33">
        <v>19460.416491020995</v>
      </c>
    </row>
    <row r="30" spans="1:11" x14ac:dyDescent="0.3">
      <c r="A30">
        <v>2001</v>
      </c>
      <c r="B30" s="33">
        <v>631530000</v>
      </c>
      <c r="C30" s="33">
        <v>459840000</v>
      </c>
      <c r="E30" s="37">
        <v>2001</v>
      </c>
      <c r="F30" s="38">
        <v>1.2167592988456606</v>
      </c>
      <c r="G30" s="38">
        <v>2.6130175713291579</v>
      </c>
      <c r="I30" s="37">
        <v>2001</v>
      </c>
      <c r="J30" s="33">
        <v>12272.139263754691</v>
      </c>
      <c r="K30" s="33">
        <v>16420.274406909368</v>
      </c>
    </row>
    <row r="31" spans="1:11" x14ac:dyDescent="0.3">
      <c r="A31">
        <v>2002</v>
      </c>
      <c r="B31" s="33">
        <v>562136000</v>
      </c>
      <c r="C31" s="33">
        <v>485519000</v>
      </c>
      <c r="E31" s="37">
        <v>2002</v>
      </c>
      <c r="F31" s="38">
        <v>1.3570381544679579</v>
      </c>
      <c r="G31" s="38">
        <v>2.6884632733219505</v>
      </c>
      <c r="I31" s="37">
        <v>2002</v>
      </c>
      <c r="J31" s="33">
        <v>12408.341195224308</v>
      </c>
      <c r="K31" s="33">
        <v>19588.804682224058</v>
      </c>
    </row>
    <row r="32" spans="1:11" x14ac:dyDescent="0.3">
      <c r="A32">
        <v>2003</v>
      </c>
      <c r="B32" s="33">
        <v>1030830999.9999999</v>
      </c>
      <c r="C32" s="33">
        <v>785723000</v>
      </c>
      <c r="E32" s="37">
        <v>2003</v>
      </c>
      <c r="F32" s="38">
        <v>0.51652404710374444</v>
      </c>
      <c r="G32" s="38">
        <v>1.506256021524125</v>
      </c>
      <c r="I32" s="37">
        <v>2003</v>
      </c>
      <c r="J32" s="33">
        <v>206375.58139534883</v>
      </c>
      <c r="K32" s="33">
        <v>19385.749385749386</v>
      </c>
    </row>
    <row r="33" spans="1:11" x14ac:dyDescent="0.3">
      <c r="A33">
        <v>2004</v>
      </c>
      <c r="B33" s="33">
        <v>1228163000</v>
      </c>
      <c r="C33" s="33">
        <v>852242000</v>
      </c>
      <c r="E33" s="37">
        <v>2004</v>
      </c>
      <c r="F33" s="38">
        <v>0.45275260694223812</v>
      </c>
      <c r="G33" s="38">
        <v>1.3367611546954974</v>
      </c>
      <c r="I33" s="37">
        <v>2004</v>
      </c>
      <c r="J33" s="33">
        <v>121197.4716652136</v>
      </c>
      <c r="K33" s="33">
        <v>21471.672509329412</v>
      </c>
    </row>
    <row r="34" spans="1:11" x14ac:dyDescent="0.3">
      <c r="A34">
        <v>2005</v>
      </c>
      <c r="B34" s="33">
        <v>1292489000</v>
      </c>
      <c r="C34" s="33">
        <v>887120000</v>
      </c>
      <c r="E34" s="37">
        <v>2005</v>
      </c>
      <c r="F34" s="38">
        <v>0.43300175088530735</v>
      </c>
      <c r="G34" s="38">
        <v>1.2275836414464785</v>
      </c>
      <c r="I34" s="37">
        <v>2005</v>
      </c>
      <c r="J34" s="33">
        <v>177441.34432466709</v>
      </c>
      <c r="K34" s="33">
        <v>21635.323333664448</v>
      </c>
    </row>
    <row r="35" spans="1:11" x14ac:dyDescent="0.3">
      <c r="A35">
        <v>2006</v>
      </c>
      <c r="B35" s="33">
        <v>904030000</v>
      </c>
      <c r="C35" s="33">
        <v>910210000</v>
      </c>
      <c r="E35" s="37">
        <v>2006</v>
      </c>
      <c r="F35" s="38">
        <v>0.19264847405506455</v>
      </c>
      <c r="G35" s="38">
        <v>1.1760253128398943</v>
      </c>
      <c r="I35" s="37">
        <v>2006</v>
      </c>
      <c r="J35" s="33">
        <v>1905.5955533185986</v>
      </c>
      <c r="K35" s="33">
        <v>32264.219187991686</v>
      </c>
    </row>
    <row r="36" spans="1:11" x14ac:dyDescent="0.3">
      <c r="A36">
        <v>2007</v>
      </c>
      <c r="B36" s="33">
        <v>2169200000</v>
      </c>
      <c r="C36" s="33">
        <v>1059599999.9999999</v>
      </c>
      <c r="E36" s="37">
        <v>2007</v>
      </c>
      <c r="F36" s="38">
        <v>3.1855061773925872E-2</v>
      </c>
      <c r="G36" s="38">
        <v>1.0204133635334089</v>
      </c>
      <c r="I36" s="37">
        <v>2007</v>
      </c>
      <c r="J36" s="33">
        <v>3593.9044052634317</v>
      </c>
      <c r="K36" s="33">
        <v>18506.606873887442</v>
      </c>
    </row>
    <row r="37" spans="1:11" x14ac:dyDescent="0.3">
      <c r="A37">
        <v>2008</v>
      </c>
      <c r="B37" s="33">
        <v>1831500000</v>
      </c>
      <c r="C37" s="33">
        <v>1211083000</v>
      </c>
      <c r="E37" s="37">
        <v>2008</v>
      </c>
      <c r="F37" s="38">
        <v>2.5427245427245428E-2</v>
      </c>
      <c r="G37" s="38">
        <v>0.9077082247872359</v>
      </c>
      <c r="I37" s="37">
        <v>2008</v>
      </c>
      <c r="J37" s="33">
        <v>2460.2461831052883</v>
      </c>
      <c r="K37" s="33">
        <v>4069.001765574626</v>
      </c>
    </row>
    <row r="38" spans="1:11" x14ac:dyDescent="0.3">
      <c r="A38">
        <v>2009</v>
      </c>
      <c r="B38" s="33">
        <v>1775492000</v>
      </c>
      <c r="C38" s="33">
        <v>1183944000</v>
      </c>
      <c r="E38" s="37">
        <v>2009</v>
      </c>
      <c r="F38" s="38">
        <v>3.6411879073518776E-2</v>
      </c>
      <c r="G38" s="38">
        <v>0.91730098720885445</v>
      </c>
      <c r="I38" s="37">
        <v>2009</v>
      </c>
      <c r="J38" s="33">
        <v>3530.6100158374747</v>
      </c>
      <c r="K38" s="33">
        <v>4011.5874469939863</v>
      </c>
    </row>
    <row r="39" spans="1:11" x14ac:dyDescent="0.3">
      <c r="A39">
        <v>2010</v>
      </c>
      <c r="B39" s="33">
        <v>1951876000</v>
      </c>
      <c r="C39" s="33">
        <v>1315867000</v>
      </c>
      <c r="E39" s="37">
        <v>2010</v>
      </c>
      <c r="F39" s="38">
        <v>1.5724359539233027E-2</v>
      </c>
      <c r="G39" s="38">
        <v>0.82532429189272172</v>
      </c>
      <c r="I39" s="37">
        <v>2010</v>
      </c>
      <c r="J39" s="33">
        <v>6205.4185200161746</v>
      </c>
      <c r="K39" s="33">
        <v>5290.0056503779906</v>
      </c>
    </row>
    <row r="40" spans="1:11" x14ac:dyDescent="0.3">
      <c r="A40">
        <v>2011</v>
      </c>
      <c r="B40" s="33">
        <v>1969640000</v>
      </c>
      <c r="C40" s="33">
        <v>1368602000</v>
      </c>
      <c r="E40" s="37">
        <v>2011</v>
      </c>
      <c r="F40" s="38">
        <v>3.4428626551044859E-2</v>
      </c>
      <c r="G40" s="38">
        <v>0.78691321509101986</v>
      </c>
      <c r="I40" s="37">
        <v>2011</v>
      </c>
      <c r="J40" s="33">
        <v>8556.7192429022089</v>
      </c>
      <c r="K40" s="33">
        <v>3928.8161067557758</v>
      </c>
    </row>
    <row r="41" spans="1:11" x14ac:dyDescent="0.3">
      <c r="A41">
        <v>2012</v>
      </c>
      <c r="B41" s="33">
        <v>2020972000</v>
      </c>
      <c r="C41" s="33">
        <v>1482501000</v>
      </c>
      <c r="E41" s="37">
        <v>2012</v>
      </c>
      <c r="F41" s="38">
        <v>1.8924557094309076E-2</v>
      </c>
      <c r="G41" s="38">
        <v>0.69197592446817913</v>
      </c>
      <c r="I41" s="37">
        <v>2012</v>
      </c>
      <c r="J41" s="33">
        <v>6825.9860788863107</v>
      </c>
      <c r="K41" s="33">
        <v>3920.7896195226358</v>
      </c>
    </row>
    <row r="42" spans="1:11" x14ac:dyDescent="0.3">
      <c r="A42">
        <v>2013</v>
      </c>
      <c r="B42" s="33">
        <v>2243644000</v>
      </c>
      <c r="C42" s="33">
        <v>1605130000</v>
      </c>
      <c r="E42" s="37">
        <v>2013</v>
      </c>
      <c r="F42" s="38">
        <v>2.5493794915770952E-2</v>
      </c>
      <c r="G42" s="38">
        <v>0.61302386722570756</v>
      </c>
      <c r="I42" s="37">
        <v>2013</v>
      </c>
      <c r="J42" s="33">
        <v>7983.1123517097003</v>
      </c>
      <c r="K42" s="33">
        <v>3908.7427851862444</v>
      </c>
    </row>
    <row r="43" spans="1:11" x14ac:dyDescent="0.3">
      <c r="A43">
        <v>2014</v>
      </c>
      <c r="B43" s="33">
        <v>2060610000.0000002</v>
      </c>
      <c r="C43" s="33">
        <v>1711204000</v>
      </c>
      <c r="E43" s="37">
        <v>2014</v>
      </c>
      <c r="F43" s="38">
        <v>7.7753674882680368E-2</v>
      </c>
      <c r="G43" s="38">
        <v>0.64100948805636271</v>
      </c>
      <c r="I43" s="37">
        <v>2014</v>
      </c>
      <c r="J43" s="33">
        <v>9908.472479901051</v>
      </c>
      <c r="K43" s="33">
        <v>4078.8552857137547</v>
      </c>
    </row>
    <row r="44" spans="1:11" x14ac:dyDescent="0.3">
      <c r="A44">
        <v>2015</v>
      </c>
      <c r="B44" s="33">
        <v>1924671000</v>
      </c>
      <c r="C44" s="33">
        <v>1828071000</v>
      </c>
      <c r="E44" s="37">
        <v>2015</v>
      </c>
      <c r="F44" s="38">
        <v>9.2114444494669476E-2</v>
      </c>
      <c r="G44" s="38">
        <v>0.58622394863219218</v>
      </c>
      <c r="I44" s="37">
        <v>2015</v>
      </c>
      <c r="J44" s="33">
        <v>5713.6871958490447</v>
      </c>
      <c r="K44" s="33">
        <v>4316.0716083690777</v>
      </c>
    </row>
    <row r="45" spans="1:11" x14ac:dyDescent="0.3">
      <c r="A45">
        <v>2016</v>
      </c>
      <c r="B45" s="33">
        <v>2901184000</v>
      </c>
      <c r="C45" s="33">
        <v>1913619000</v>
      </c>
      <c r="E45" s="37">
        <v>2016</v>
      </c>
      <c r="F45" s="38">
        <v>7.6960992477553988E-2</v>
      </c>
      <c r="G45" s="38">
        <v>0.57226647519699581</v>
      </c>
      <c r="I45" s="37">
        <v>2016</v>
      </c>
      <c r="J45" s="33">
        <v>5526.136026136026</v>
      </c>
      <c r="K45" s="33">
        <v>4383.9773254976062</v>
      </c>
    </row>
    <row r="46" spans="1:11" x14ac:dyDescent="0.3">
      <c r="A46">
        <v>2017</v>
      </c>
      <c r="B46" s="33">
        <v>2632085000</v>
      </c>
      <c r="C46" s="33">
        <v>2107491000</v>
      </c>
      <c r="E46" s="37">
        <v>2017</v>
      </c>
      <c r="F46" s="38">
        <v>8.3905345002156087E-2</v>
      </c>
      <c r="G46" s="38">
        <v>0.54565737172780338</v>
      </c>
      <c r="I46" s="37">
        <v>2017</v>
      </c>
      <c r="J46" s="33">
        <v>5388.0647994534984</v>
      </c>
      <c r="K46" s="33">
        <v>4702.8070405025192</v>
      </c>
    </row>
    <row r="47" spans="1:11" x14ac:dyDescent="0.3">
      <c r="A47">
        <v>2018</v>
      </c>
      <c r="B47" s="33">
        <v>2592801000</v>
      </c>
      <c r="C47" s="33">
        <v>2251166000</v>
      </c>
      <c r="E47" s="37">
        <v>2018</v>
      </c>
      <c r="F47" s="38">
        <v>0.16775872888046556</v>
      </c>
      <c r="G47" s="38">
        <v>0.76485208109930591</v>
      </c>
      <c r="I47" s="37">
        <v>2018</v>
      </c>
      <c r="J47" s="33">
        <v>10369.147515972156</v>
      </c>
      <c r="K47" s="33">
        <v>6562.1972460106026</v>
      </c>
    </row>
    <row r="48" spans="1:11" x14ac:dyDescent="0.3">
      <c r="A48">
        <v>2019</v>
      </c>
      <c r="B48" s="33">
        <v>2752537000</v>
      </c>
      <c r="C48" s="33">
        <v>2401983000</v>
      </c>
      <c r="E48" s="37">
        <v>2019</v>
      </c>
      <c r="F48" s="38">
        <v>0.19248642252583709</v>
      </c>
      <c r="G48" s="38">
        <v>0.68956483039222172</v>
      </c>
      <c r="I48" s="37">
        <v>2019</v>
      </c>
      <c r="J48" s="33">
        <v>11199.50114145599</v>
      </c>
      <c r="K48" s="33">
        <v>6516.0055548343189</v>
      </c>
    </row>
    <row r="49" spans="1:11" x14ac:dyDescent="0.3">
      <c r="A49">
        <v>2020</v>
      </c>
      <c r="B49" s="33">
        <v>2684831000</v>
      </c>
      <c r="C49" s="33">
        <v>2010823000</v>
      </c>
      <c r="E49" s="37">
        <v>2020</v>
      </c>
      <c r="F49" s="38">
        <v>7.3041841367296495E-2</v>
      </c>
      <c r="G49" s="38">
        <v>0.72079839946131508</v>
      </c>
      <c r="I49" s="37">
        <v>2020</v>
      </c>
      <c r="J49" s="33">
        <v>7109.8905083025165</v>
      </c>
      <c r="K49" s="33">
        <v>6203.9242207630996</v>
      </c>
    </row>
    <row r="50" spans="1:11" x14ac:dyDescent="0.3">
      <c r="A50">
        <v>2021</v>
      </c>
      <c r="B50" s="33">
        <v>2814230000</v>
      </c>
      <c r="C50" s="33">
        <v>2119739999.9999998</v>
      </c>
      <c r="E50" s="37">
        <v>2021</v>
      </c>
      <c r="F50" s="38">
        <v>0.16955863593238649</v>
      </c>
      <c r="G50" s="38">
        <v>1.0105857322124412</v>
      </c>
      <c r="I50" s="37">
        <v>2021</v>
      </c>
      <c r="J50" s="33">
        <v>5498.1909941466565</v>
      </c>
      <c r="K50" s="33">
        <v>7314.8360616552955</v>
      </c>
    </row>
    <row r="51" spans="1:11" x14ac:dyDescent="0.3">
      <c r="A51">
        <v>2022</v>
      </c>
      <c r="B51" s="33">
        <v>2773103000</v>
      </c>
      <c r="C51" s="33">
        <v>2540008000</v>
      </c>
      <c r="E51" s="37">
        <v>2022</v>
      </c>
      <c r="F51" s="38">
        <v>0.14905685075527306</v>
      </c>
      <c r="G51" s="38">
        <v>0.85344219388285392</v>
      </c>
      <c r="I51" s="37">
        <v>2022</v>
      </c>
      <c r="J51" s="33">
        <v>4996.615332543578</v>
      </c>
      <c r="K51" s="33">
        <v>6434.8412031691096</v>
      </c>
    </row>
  </sheetData>
  <mergeCells count="3">
    <mergeCell ref="A1:C1"/>
    <mergeCell ref="E1:G1"/>
    <mergeCell ref="I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504A-80B3-491A-AEE8-296105EA6484}">
  <dimension ref="A1:R22"/>
  <sheetViews>
    <sheetView tabSelected="1" zoomScaleNormal="100" workbookViewId="0">
      <selection activeCell="T17" sqref="T17"/>
    </sheetView>
  </sheetViews>
  <sheetFormatPr defaultRowHeight="14.4" x14ac:dyDescent="0.3"/>
  <cols>
    <col min="18" max="18" width="12.33203125" customWidth="1"/>
  </cols>
  <sheetData>
    <row r="1" spans="1:18" ht="41.4" customHeight="1" x14ac:dyDescent="0.3">
      <c r="A1" s="39" t="s">
        <v>24</v>
      </c>
      <c r="B1" s="39"/>
      <c r="C1" s="39"/>
      <c r="D1" s="39"/>
      <c r="E1" s="39"/>
      <c r="F1" s="39"/>
      <c r="G1" s="39"/>
      <c r="H1" s="39"/>
      <c r="I1" s="39"/>
      <c r="J1" s="39"/>
      <c r="K1" s="39"/>
      <c r="L1" s="39"/>
      <c r="M1" s="39"/>
      <c r="N1" s="39"/>
      <c r="O1" s="39"/>
      <c r="P1" s="39"/>
      <c r="Q1" s="39"/>
      <c r="R1" s="39"/>
    </row>
    <row r="2" spans="1:18" x14ac:dyDescent="0.3">
      <c r="A2" s="17"/>
      <c r="B2" s="17"/>
      <c r="C2" s="17"/>
      <c r="D2" s="17"/>
      <c r="E2" s="17"/>
      <c r="F2" s="17"/>
      <c r="G2" s="17"/>
      <c r="H2" s="17"/>
      <c r="I2" s="17"/>
      <c r="J2" s="17"/>
      <c r="K2" s="17"/>
      <c r="L2" s="17"/>
      <c r="M2" s="17"/>
      <c r="N2" s="17"/>
      <c r="O2" s="17"/>
      <c r="P2" s="17"/>
      <c r="Q2" s="17"/>
      <c r="R2" s="17"/>
    </row>
    <row r="3" spans="1:18" x14ac:dyDescent="0.3">
      <c r="A3" s="17"/>
      <c r="B3" s="17"/>
      <c r="C3" s="17"/>
      <c r="D3" s="17"/>
      <c r="E3" s="17"/>
      <c r="F3" s="17"/>
      <c r="G3" s="17"/>
      <c r="H3" s="17"/>
      <c r="I3" s="17"/>
      <c r="J3" s="17"/>
      <c r="K3" s="17"/>
      <c r="L3" s="17"/>
      <c r="M3" s="17"/>
      <c r="N3" s="17"/>
      <c r="O3" s="17"/>
      <c r="P3" s="17"/>
      <c r="Q3" s="17"/>
      <c r="R3" s="17"/>
    </row>
    <row r="4" spans="1:18" x14ac:dyDescent="0.3">
      <c r="A4" s="17"/>
      <c r="B4" s="17"/>
      <c r="C4" s="17"/>
      <c r="D4" s="17"/>
      <c r="E4" s="17"/>
      <c r="F4" s="18"/>
      <c r="G4" s="17"/>
      <c r="H4" s="17"/>
      <c r="I4" s="17"/>
      <c r="J4" s="17"/>
      <c r="K4" s="17"/>
      <c r="L4" s="17"/>
      <c r="M4" s="17"/>
      <c r="N4" s="17"/>
      <c r="O4" s="17"/>
      <c r="P4" s="17"/>
      <c r="Q4" s="17"/>
      <c r="R4" s="17"/>
    </row>
    <row r="5" spans="1:18" x14ac:dyDescent="0.3">
      <c r="A5" s="17"/>
      <c r="B5" s="17"/>
      <c r="C5" s="17"/>
      <c r="D5" s="17"/>
      <c r="E5" s="17"/>
      <c r="F5" s="17"/>
      <c r="G5" s="17"/>
      <c r="H5" s="17"/>
      <c r="I5" s="17"/>
      <c r="J5" s="17"/>
      <c r="K5" s="17"/>
      <c r="L5" s="17"/>
      <c r="M5" s="17"/>
      <c r="N5" s="17"/>
      <c r="O5" s="17"/>
      <c r="P5" s="17"/>
      <c r="Q5" s="17"/>
      <c r="R5" s="17"/>
    </row>
    <row r="6" spans="1:18" x14ac:dyDescent="0.3">
      <c r="A6" s="17"/>
      <c r="B6" s="17"/>
      <c r="C6" s="17"/>
      <c r="D6" s="17"/>
      <c r="E6" s="17"/>
      <c r="F6" s="17"/>
      <c r="G6" s="17"/>
      <c r="H6" s="17"/>
      <c r="I6" s="17"/>
      <c r="J6" s="17"/>
      <c r="K6" s="17"/>
      <c r="L6" s="17"/>
      <c r="M6" s="17"/>
      <c r="N6" s="17"/>
      <c r="O6" s="17"/>
      <c r="P6" s="17"/>
      <c r="Q6" s="17"/>
      <c r="R6" s="17"/>
    </row>
    <row r="7" spans="1:18" x14ac:dyDescent="0.3">
      <c r="A7" s="17"/>
      <c r="B7" s="17"/>
      <c r="C7" s="17"/>
      <c r="D7" s="17"/>
      <c r="E7" s="17"/>
      <c r="F7" s="17"/>
      <c r="G7" s="17"/>
      <c r="H7" s="17"/>
      <c r="I7" s="17"/>
      <c r="J7" s="17"/>
      <c r="K7" s="17"/>
      <c r="L7" s="17"/>
      <c r="M7" s="17"/>
      <c r="N7" s="17"/>
      <c r="O7" s="17"/>
      <c r="P7" s="17"/>
      <c r="Q7" s="17"/>
      <c r="R7" s="17"/>
    </row>
    <row r="8" spans="1:18" x14ac:dyDescent="0.3">
      <c r="A8" s="17"/>
      <c r="B8" s="17"/>
      <c r="C8" s="17"/>
      <c r="D8" s="17"/>
      <c r="E8" s="17"/>
      <c r="F8" s="17"/>
      <c r="G8" s="17"/>
      <c r="H8" s="17"/>
      <c r="I8" s="17"/>
      <c r="J8" s="17"/>
      <c r="K8" s="17"/>
      <c r="L8" s="17"/>
      <c r="M8" s="17"/>
      <c r="N8" s="17"/>
      <c r="O8" s="17"/>
      <c r="P8" s="17"/>
      <c r="Q8" s="17"/>
      <c r="R8" s="17"/>
    </row>
    <row r="9" spans="1:18" x14ac:dyDescent="0.3">
      <c r="A9" s="17"/>
      <c r="B9" s="17"/>
      <c r="C9" s="17"/>
      <c r="D9" s="17"/>
      <c r="E9" s="17"/>
      <c r="F9" s="17"/>
      <c r="G9" s="17"/>
      <c r="H9" s="17"/>
      <c r="I9" s="17"/>
      <c r="J9" s="17"/>
      <c r="K9" s="17"/>
      <c r="L9" s="17"/>
      <c r="M9" s="17"/>
      <c r="N9" s="17"/>
      <c r="O9" s="17"/>
      <c r="P9" s="17"/>
      <c r="Q9" s="17"/>
      <c r="R9" s="17"/>
    </row>
    <row r="10" spans="1:18" x14ac:dyDescent="0.3">
      <c r="A10" s="17"/>
      <c r="B10" s="17"/>
      <c r="C10" s="17"/>
      <c r="D10" s="17"/>
      <c r="E10" s="17"/>
      <c r="F10" s="17"/>
      <c r="G10" s="17"/>
      <c r="H10" s="17"/>
      <c r="I10" s="17"/>
      <c r="J10" s="17"/>
      <c r="K10" s="17"/>
      <c r="L10" s="17"/>
      <c r="M10" s="17"/>
      <c r="N10" s="17"/>
      <c r="O10" s="17"/>
      <c r="P10" s="17"/>
      <c r="Q10" s="17"/>
      <c r="R10" s="17"/>
    </row>
    <row r="11" spans="1:18" x14ac:dyDescent="0.3">
      <c r="A11" s="17"/>
      <c r="B11" s="17"/>
      <c r="C11" s="17"/>
      <c r="D11" s="17"/>
      <c r="E11" s="17"/>
      <c r="F11" s="17"/>
      <c r="G11" s="17"/>
      <c r="H11" s="17"/>
      <c r="I11" s="17"/>
      <c r="J11" s="17"/>
      <c r="K11" s="17"/>
      <c r="L11" s="17"/>
      <c r="M11" s="17"/>
      <c r="N11" s="17"/>
      <c r="O11" s="17"/>
      <c r="P11" s="17"/>
      <c r="Q11" s="17"/>
      <c r="R11" s="17"/>
    </row>
    <row r="12" spans="1:18" x14ac:dyDescent="0.3">
      <c r="A12" s="17"/>
      <c r="B12" s="17"/>
      <c r="C12" s="17"/>
      <c r="D12" s="17"/>
      <c r="E12" s="17"/>
      <c r="F12" s="17"/>
      <c r="G12" s="17"/>
      <c r="H12" s="17"/>
      <c r="I12" s="17"/>
      <c r="J12" s="17"/>
      <c r="K12" s="17"/>
      <c r="L12" s="17"/>
      <c r="M12" s="17"/>
      <c r="N12" s="17"/>
      <c r="O12" s="17"/>
      <c r="P12" s="17"/>
      <c r="Q12" s="17"/>
      <c r="R12" s="17"/>
    </row>
    <row r="13" spans="1:18" x14ac:dyDescent="0.3">
      <c r="A13" s="17"/>
      <c r="B13" s="17"/>
      <c r="C13" s="17"/>
      <c r="D13" s="17"/>
      <c r="E13" s="17"/>
      <c r="F13" s="17"/>
      <c r="G13" s="17"/>
      <c r="H13" s="17"/>
      <c r="I13" s="17"/>
      <c r="J13" s="17"/>
      <c r="K13" s="17"/>
      <c r="L13" s="17"/>
      <c r="M13" s="17"/>
      <c r="N13" s="17"/>
      <c r="O13" s="17"/>
      <c r="P13" s="17"/>
      <c r="Q13" s="17"/>
      <c r="R13" s="17"/>
    </row>
    <row r="14" spans="1:18" x14ac:dyDescent="0.3">
      <c r="A14" s="17"/>
      <c r="B14" s="17"/>
      <c r="C14" s="17"/>
      <c r="D14" s="17"/>
      <c r="E14" s="17"/>
      <c r="F14" s="17"/>
      <c r="G14" s="17"/>
      <c r="H14" s="17"/>
      <c r="I14" s="17"/>
      <c r="J14" s="17"/>
      <c r="K14" s="17"/>
      <c r="L14" s="17"/>
      <c r="M14" s="17"/>
      <c r="N14" s="17"/>
      <c r="O14" s="17"/>
      <c r="P14" s="17"/>
      <c r="Q14" s="17"/>
      <c r="R14" s="17"/>
    </row>
    <row r="15" spans="1:18" x14ac:dyDescent="0.3">
      <c r="A15" s="17"/>
      <c r="B15" s="17"/>
      <c r="C15" s="17"/>
      <c r="D15" s="17"/>
      <c r="E15" s="17"/>
      <c r="F15" s="17"/>
      <c r="G15" s="17"/>
      <c r="H15" s="17"/>
      <c r="I15" s="17"/>
      <c r="J15" s="17"/>
      <c r="K15" s="17"/>
      <c r="L15" s="17"/>
      <c r="M15" s="17"/>
      <c r="N15" s="17"/>
      <c r="O15" s="17"/>
      <c r="P15" s="17"/>
      <c r="Q15" s="17"/>
      <c r="R15" s="17"/>
    </row>
    <row r="16" spans="1:18" x14ac:dyDescent="0.3">
      <c r="A16" s="17"/>
      <c r="B16" s="17"/>
      <c r="C16" s="17"/>
      <c r="D16" s="17"/>
      <c r="E16" s="17"/>
      <c r="F16" s="17"/>
      <c r="G16" s="17"/>
      <c r="H16" s="17"/>
      <c r="I16" s="17"/>
      <c r="J16" s="17"/>
      <c r="K16" s="17"/>
      <c r="L16" s="17"/>
      <c r="M16" s="17"/>
      <c r="N16" s="17"/>
      <c r="O16" s="17"/>
      <c r="P16" s="17"/>
      <c r="Q16" s="17"/>
      <c r="R16" s="17"/>
    </row>
    <row r="17" spans="1:18" x14ac:dyDescent="0.3">
      <c r="A17" s="17"/>
      <c r="B17" s="17"/>
      <c r="C17" s="17"/>
      <c r="D17" s="17"/>
      <c r="E17" s="17"/>
      <c r="F17" s="17"/>
      <c r="G17" s="17"/>
      <c r="H17" s="17"/>
      <c r="I17" s="17"/>
      <c r="J17" s="17"/>
      <c r="K17" s="17"/>
      <c r="L17" s="17"/>
      <c r="M17" s="17"/>
      <c r="N17" s="17"/>
      <c r="O17" s="17"/>
      <c r="P17" s="17"/>
      <c r="Q17" s="17"/>
      <c r="R17" s="17"/>
    </row>
    <row r="18" spans="1:18" x14ac:dyDescent="0.3">
      <c r="A18" s="17"/>
      <c r="B18" s="17"/>
      <c r="C18" s="17"/>
      <c r="D18" s="17"/>
      <c r="E18" s="17"/>
      <c r="F18" s="17"/>
      <c r="G18" s="17"/>
      <c r="H18" s="17"/>
      <c r="I18" s="17"/>
      <c r="J18" s="17"/>
      <c r="K18" s="17"/>
      <c r="L18" s="17"/>
      <c r="M18" s="17"/>
      <c r="N18" s="17"/>
      <c r="O18" s="17"/>
      <c r="P18" s="17"/>
      <c r="Q18" s="17"/>
      <c r="R18" s="17"/>
    </row>
    <row r="19" spans="1:18" x14ac:dyDescent="0.3">
      <c r="A19" s="17"/>
      <c r="B19" s="17"/>
      <c r="C19" s="17"/>
      <c r="D19" s="17"/>
      <c r="E19" s="17"/>
      <c r="F19" s="17"/>
      <c r="G19" s="17"/>
      <c r="H19" s="17"/>
      <c r="I19" s="17"/>
      <c r="J19" s="17"/>
      <c r="K19" s="17"/>
      <c r="L19" s="17"/>
      <c r="M19" s="17"/>
      <c r="N19" s="17"/>
      <c r="O19" s="17"/>
      <c r="P19" s="17"/>
      <c r="Q19" s="17"/>
      <c r="R19" s="17"/>
    </row>
    <row r="20" spans="1:18" x14ac:dyDescent="0.3">
      <c r="A20" s="17"/>
      <c r="B20" s="17"/>
      <c r="C20" s="17"/>
      <c r="D20" s="17"/>
      <c r="E20" s="17"/>
      <c r="F20" s="17"/>
      <c r="G20" s="17"/>
      <c r="H20" s="17"/>
      <c r="I20" s="17"/>
      <c r="J20" s="17"/>
      <c r="K20" s="17"/>
      <c r="L20" s="17"/>
      <c r="M20" s="17"/>
      <c r="N20" s="17"/>
      <c r="O20" s="17"/>
      <c r="P20" s="17"/>
      <c r="Q20" s="17"/>
      <c r="R20" s="17"/>
    </row>
    <row r="21" spans="1:18" x14ac:dyDescent="0.3">
      <c r="A21" s="17"/>
      <c r="B21" s="17"/>
      <c r="C21" s="17"/>
      <c r="D21" s="17"/>
      <c r="E21" s="17"/>
      <c r="F21" s="17"/>
      <c r="G21" s="17"/>
      <c r="H21" s="17"/>
      <c r="I21" s="17"/>
      <c r="J21" s="17"/>
      <c r="K21" s="17"/>
      <c r="L21" s="17"/>
      <c r="M21" s="17"/>
      <c r="N21" s="17"/>
      <c r="O21" s="17"/>
      <c r="P21" s="17"/>
      <c r="Q21" s="17"/>
      <c r="R21" s="17"/>
    </row>
    <row r="22" spans="1:18" ht="19.2" customHeight="1" x14ac:dyDescent="0.3">
      <c r="A22" s="17"/>
      <c r="B22" s="17"/>
      <c r="C22" s="17"/>
      <c r="D22" s="17"/>
      <c r="E22" s="17"/>
      <c r="F22" s="17"/>
      <c r="G22" s="17"/>
      <c r="H22" s="17"/>
      <c r="I22" s="17"/>
      <c r="J22" s="17"/>
      <c r="K22" s="17"/>
      <c r="L22" s="17"/>
      <c r="M22" s="17"/>
      <c r="N22" s="17"/>
      <c r="O22" s="17"/>
      <c r="P22" s="17"/>
      <c r="Q22" s="17"/>
      <c r="R22" s="17"/>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Gideon Zamora</dc:creator>
  <cp:lastModifiedBy>Gideon Zamora</cp:lastModifiedBy>
  <dcterms:created xsi:type="dcterms:W3CDTF">2015-06-05T18:17:20Z</dcterms:created>
  <dcterms:modified xsi:type="dcterms:W3CDTF">2026-04-27T21:15:17Z</dcterms:modified>
</cp:coreProperties>
</file>